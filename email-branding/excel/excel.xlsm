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nis\Desktop\"/>
    </mc:Choice>
  </mc:AlternateContent>
  <xr:revisionPtr revIDLastSave="0" documentId="13_ncr:1_{3BCA1A35-3950-457C-AB72-2253AA8A4F09}" xr6:coauthVersionLast="47" xr6:coauthVersionMax="47" xr10:uidLastSave="{00000000-0000-0000-0000-000000000000}"/>
  <bookViews>
    <workbookView xWindow="-110" yWindow="-110" windowWidth="38620" windowHeight="21100" activeTab="3" xr2:uid="{00000000-000D-0000-FFFF-FFFF00000000}"/>
  </bookViews>
  <sheets>
    <sheet name="MAIL" sheetId="8" r:id="rId1"/>
    <sheet name="mail_202403041110" sheetId="1" r:id="rId2"/>
    <sheet name="Hoja6" sheetId="7" r:id="rId3"/>
    <sheet name="recursos_faltantes" sheetId="5" r:id="rId4"/>
    <sheet name="REPLACES" sheetId="6" r:id="rId5"/>
    <sheet name="Hoja3" sheetId="4" r:id="rId6"/>
  </sheets>
  <functionGroups builtInGroupCount="19"/>
  <definedNames>
    <definedName name="_xlpm.a" hidden="1" xlm="1">#NAME?</definedName>
    <definedName name="_xlpm.b" hidden="1" xlm="1">#NAME?</definedName>
    <definedName name="DatosExternos_1" localSheetId="0" hidden="1">MAIL!$A$1:$G$135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5" i="8" l="1"/>
  <c r="H126" i="8"/>
  <c r="H127" i="8"/>
  <c r="H128" i="8"/>
  <c r="H129" i="8"/>
  <c r="H130" i="8"/>
  <c r="H131" i="8"/>
  <c r="H132" i="8"/>
  <c r="H133" i="8"/>
  <c r="H134" i="8"/>
  <c r="H135" i="8"/>
  <c r="N2" i="1"/>
  <c r="H2" i="8" s="1"/>
  <c r="N3" i="1"/>
  <c r="H3" i="8" s="1"/>
  <c r="N4" i="1"/>
  <c r="H4" i="8" s="1"/>
  <c r="N5" i="1"/>
  <c r="H5" i="8" s="1"/>
  <c r="N6" i="1"/>
  <c r="H6" i="8" s="1"/>
  <c r="N7" i="1"/>
  <c r="H7" i="8" s="1"/>
  <c r="N8" i="1"/>
  <c r="H8" i="8" s="1"/>
  <c r="N9" i="1"/>
  <c r="H9" i="8" s="1"/>
  <c r="N10" i="1"/>
  <c r="H10" i="8" s="1"/>
  <c r="N11" i="1"/>
  <c r="H11" i="8" s="1"/>
  <c r="N12" i="1"/>
  <c r="H12" i="8" s="1"/>
  <c r="N13" i="1"/>
  <c r="H13" i="8" s="1"/>
  <c r="N14" i="1"/>
  <c r="H14" i="8" s="1"/>
  <c r="N15" i="1"/>
  <c r="H15" i="8" s="1"/>
  <c r="N16" i="1"/>
  <c r="H16" i="8" s="1"/>
  <c r="N17" i="1"/>
  <c r="H17" i="8" s="1"/>
  <c r="N18" i="1"/>
  <c r="H18" i="8" s="1"/>
  <c r="N19" i="1"/>
  <c r="H19" i="8" s="1"/>
  <c r="N20" i="1"/>
  <c r="H20" i="8" s="1"/>
  <c r="N21" i="1"/>
  <c r="H21" i="8" s="1"/>
  <c r="N22" i="1"/>
  <c r="H22" i="8" s="1"/>
  <c r="N23" i="1"/>
  <c r="H23" i="8" s="1"/>
  <c r="N24" i="1"/>
  <c r="H24" i="8" s="1"/>
  <c r="N25" i="1"/>
  <c r="H25" i="8" s="1"/>
  <c r="N26" i="1"/>
  <c r="H26" i="8" s="1"/>
  <c r="N27" i="1"/>
  <c r="H27" i="8" s="1"/>
  <c r="N28" i="1"/>
  <c r="H28" i="8" s="1"/>
  <c r="N29" i="1"/>
  <c r="H29" i="8" s="1"/>
  <c r="N30" i="1"/>
  <c r="H30" i="8" s="1"/>
  <c r="N31" i="1"/>
  <c r="H31" i="8" s="1"/>
  <c r="N32" i="1"/>
  <c r="H32" i="8" s="1"/>
  <c r="N33" i="1"/>
  <c r="H33" i="8" s="1"/>
  <c r="N34" i="1"/>
  <c r="H34" i="8" s="1"/>
  <c r="N35" i="1"/>
  <c r="H35" i="8" s="1"/>
  <c r="N36" i="1"/>
  <c r="H36" i="8" s="1"/>
  <c r="N37" i="1"/>
  <c r="H37" i="8" s="1"/>
  <c r="N38" i="1"/>
  <c r="H38" i="8" s="1"/>
  <c r="N39" i="1"/>
  <c r="H39" i="8" s="1"/>
  <c r="N40" i="1"/>
  <c r="H40" i="8" s="1"/>
  <c r="N41" i="1"/>
  <c r="H41" i="8" s="1"/>
  <c r="N42" i="1"/>
  <c r="H42" i="8" s="1"/>
  <c r="N43" i="1"/>
  <c r="H43" i="8" s="1"/>
  <c r="N44" i="1"/>
  <c r="H44" i="8" s="1"/>
  <c r="N45" i="1"/>
  <c r="H45" i="8" s="1"/>
  <c r="N46" i="1"/>
  <c r="H46" i="8" s="1"/>
  <c r="N47" i="1"/>
  <c r="H47" i="8" s="1"/>
  <c r="N48" i="1"/>
  <c r="H48" i="8" s="1"/>
  <c r="N49" i="1"/>
  <c r="H49" i="8" s="1"/>
  <c r="N50" i="1"/>
  <c r="H50" i="8" s="1"/>
  <c r="N51" i="1"/>
  <c r="H51" i="8" s="1"/>
  <c r="N52" i="1"/>
  <c r="H52" i="8" s="1"/>
  <c r="N53" i="1"/>
  <c r="H53" i="8" s="1"/>
  <c r="N54" i="1"/>
  <c r="H54" i="8" s="1"/>
  <c r="N55" i="1"/>
  <c r="H55" i="8" s="1"/>
  <c r="N56" i="1"/>
  <c r="H56" i="8" s="1"/>
  <c r="N57" i="1"/>
  <c r="H57" i="8" s="1"/>
  <c r="N58" i="1"/>
  <c r="H58" i="8" s="1"/>
  <c r="N59" i="1"/>
  <c r="H59" i="8" s="1"/>
  <c r="N60" i="1"/>
  <c r="H60" i="8" s="1"/>
  <c r="N61" i="1"/>
  <c r="H61" i="8" s="1"/>
  <c r="N62" i="1"/>
  <c r="H62" i="8" s="1"/>
  <c r="N63" i="1"/>
  <c r="H63" i="8" s="1"/>
  <c r="N64" i="1"/>
  <c r="H64" i="8" s="1"/>
  <c r="N65" i="1"/>
  <c r="H65" i="8" s="1"/>
  <c r="N66" i="1"/>
  <c r="N67" i="1"/>
  <c r="H73" i="8" s="1"/>
  <c r="N68" i="1"/>
  <c r="H68" i="8" s="1"/>
  <c r="N69" i="1"/>
  <c r="H69" i="8" s="1"/>
  <c r="N70" i="1"/>
  <c r="H70" i="8" s="1"/>
  <c r="N71" i="1"/>
  <c r="H71" i="8" s="1"/>
  <c r="N72" i="1"/>
  <c r="H72" i="8" s="1"/>
  <c r="N73" i="1"/>
  <c r="N74" i="1"/>
  <c r="H74" i="8" s="1"/>
  <c r="N75" i="1"/>
  <c r="H75" i="8" s="1"/>
  <c r="N76" i="1"/>
  <c r="H76" i="8" s="1"/>
  <c r="N77" i="1"/>
  <c r="H77" i="8" s="1"/>
  <c r="N78" i="1"/>
  <c r="H78" i="8" s="1"/>
  <c r="N79" i="1"/>
  <c r="H79" i="8" s="1"/>
  <c r="N80" i="1"/>
  <c r="H80" i="8" s="1"/>
  <c r="N81" i="1"/>
  <c r="H81" i="8" s="1"/>
  <c r="N82" i="1"/>
  <c r="H82" i="8" s="1"/>
  <c r="N83" i="1"/>
  <c r="H83" i="8" s="1"/>
  <c r="N84" i="1"/>
  <c r="H84" i="8" s="1"/>
  <c r="N85" i="1"/>
  <c r="H85" i="8" s="1"/>
  <c r="N86" i="1"/>
  <c r="H86" i="8" s="1"/>
  <c r="N87" i="1"/>
  <c r="H87" i="8" s="1"/>
  <c r="N88" i="1"/>
  <c r="H88" i="8" s="1"/>
  <c r="N89" i="1"/>
  <c r="H89" i="8" s="1"/>
  <c r="N90" i="1"/>
  <c r="H90" i="8" s="1"/>
  <c r="N91" i="1"/>
  <c r="H91" i="8" s="1"/>
  <c r="N92" i="1"/>
  <c r="H92" i="8" s="1"/>
  <c r="N93" i="1"/>
  <c r="H93" i="8" s="1"/>
  <c r="N94" i="1"/>
  <c r="H94" i="8" s="1"/>
  <c r="N95" i="1"/>
  <c r="H95" i="8" s="1"/>
  <c r="N96" i="1"/>
  <c r="H96" i="8" s="1"/>
  <c r="N97" i="1"/>
  <c r="H97" i="8" s="1"/>
  <c r="N98" i="1"/>
  <c r="H98" i="8" s="1"/>
  <c r="N99" i="1"/>
  <c r="H99" i="8" s="1"/>
  <c r="N100" i="1"/>
  <c r="H100" i="8" s="1"/>
  <c r="N101" i="1"/>
  <c r="H101" i="8" s="1"/>
  <c r="N102" i="1"/>
  <c r="H102" i="8" s="1"/>
  <c r="N103" i="1"/>
  <c r="H103" i="8" s="1"/>
  <c r="N104" i="1"/>
  <c r="H104" i="8" s="1"/>
  <c r="N105" i="1"/>
  <c r="H105" i="8" s="1"/>
  <c r="N106" i="1"/>
  <c r="H106" i="8" s="1"/>
  <c r="N107" i="1"/>
  <c r="H107" i="8" s="1"/>
  <c r="N108" i="1"/>
  <c r="H108" i="8" s="1"/>
  <c r="N109" i="1"/>
  <c r="H109" i="8" s="1"/>
  <c r="N110" i="1"/>
  <c r="H110" i="8" s="1"/>
  <c r="N111" i="1"/>
  <c r="H111" i="8" s="1"/>
  <c r="N112" i="1"/>
  <c r="H112" i="8" s="1"/>
  <c r="N113" i="1"/>
  <c r="H113" i="8" s="1"/>
  <c r="N114" i="1"/>
  <c r="H114" i="8" s="1"/>
  <c r="N115" i="1"/>
  <c r="H115" i="8" s="1"/>
  <c r="N116" i="1"/>
  <c r="H116" i="8" s="1"/>
  <c r="N117" i="1"/>
  <c r="H117" i="8" s="1"/>
  <c r="N118" i="1"/>
  <c r="H118" i="8" s="1"/>
  <c r="N119" i="1"/>
  <c r="H119" i="8" s="1"/>
  <c r="N120" i="1"/>
  <c r="H120" i="8" s="1"/>
  <c r="N121" i="1"/>
  <c r="H121" i="8" s="1"/>
  <c r="N122" i="1"/>
  <c r="H122" i="8" s="1"/>
  <c r="N123" i="1"/>
  <c r="H123" i="8" s="1"/>
  <c r="N124" i="1"/>
  <c r="H124" i="8" s="1"/>
  <c r="F130" i="8" a="1"/>
  <c r="F95" i="8" a="1"/>
  <c r="F8" i="8" a="1"/>
  <c r="F11" i="8" a="1"/>
  <c r="F101" i="8" a="1"/>
  <c r="F38" i="8" a="1"/>
  <c r="F87" i="8" a="1"/>
  <c r="F91" i="8" a="1"/>
  <c r="F50" i="8" a="1"/>
  <c r="F52" i="8" a="1"/>
  <c r="F36" i="8" a="1"/>
  <c r="F13" i="8" a="1"/>
  <c r="F94" i="8" a="1"/>
  <c r="F63" i="8" a="1"/>
  <c r="F88" i="8" a="1"/>
  <c r="F84" i="8" a="1"/>
  <c r="F29" i="8" a="1"/>
  <c r="F121" i="8" a="1"/>
  <c r="F3" i="8" a="1"/>
  <c r="F24" i="8" a="1"/>
  <c r="F124" i="8" a="1"/>
  <c r="F80" i="8" a="1"/>
  <c r="F104" i="8" a="1"/>
  <c r="F51" i="8" a="1"/>
  <c r="F93" i="8" a="1"/>
  <c r="F49" i="8" a="1"/>
  <c r="F118" i="8" a="1"/>
  <c r="F14" i="8" a="1"/>
  <c r="F45" i="8" a="1"/>
  <c r="F12" i="8" a="1"/>
  <c r="F89" i="8" a="1"/>
  <c r="F9" i="8" a="1"/>
  <c r="F2" i="8" a="1"/>
  <c r="F59" i="8" a="1"/>
  <c r="F69" i="8" a="1"/>
  <c r="F135" i="8" a="1"/>
  <c r="F35" i="8" a="1"/>
  <c r="F57" i="8" a="1"/>
  <c r="F102" i="8" a="1"/>
  <c r="F33" i="8" a="1"/>
  <c r="F108" i="8" a="1"/>
  <c r="F107" i="8" a="1"/>
  <c r="F73" i="8" a="1"/>
  <c r="F27" i="8" a="1"/>
  <c r="F43" i="8" a="1"/>
  <c r="F74" i="8" a="1"/>
  <c r="F39" i="8" a="1"/>
  <c r="F112" i="8" a="1"/>
  <c r="F7" i="8" a="1"/>
  <c r="F56" i="8" a="1"/>
  <c r="F133" i="8" a="1"/>
  <c r="F111" i="8" a="1"/>
  <c r="F96" i="8" a="1"/>
  <c r="F90" i="8" a="1"/>
  <c r="F23" i="8" a="1"/>
  <c r="F116" i="8" a="1"/>
  <c r="F98" i="8" a="1"/>
  <c r="F30" i="8" a="1"/>
  <c r="F34" i="8" a="1"/>
  <c r="F20" i="8" a="1"/>
  <c r="F110" i="8" a="1"/>
  <c r="F67" i="8" a="1"/>
  <c r="F129" i="8" a="1"/>
  <c r="F17" i="8" a="1"/>
  <c r="F53" i="8" a="1"/>
  <c r="F82" i="8" a="1"/>
  <c r="F103" i="8" a="1"/>
  <c r="F16" i="8" a="1"/>
  <c r="F132" i="8" a="1"/>
  <c r="F5" i="8" a="1"/>
  <c r="F42" i="8" a="1"/>
  <c r="F81" i="8" a="1"/>
  <c r="F106" i="8" a="1"/>
  <c r="F66" i="8" a="1"/>
  <c r="F44" i="8" a="1"/>
  <c r="F60" i="8" a="1"/>
  <c r="F114" i="8" a="1"/>
  <c r="F48" i="8" a="1"/>
  <c r="F65" i="8" a="1"/>
  <c r="F119" i="8" a="1"/>
  <c r="F77" i="8" a="1"/>
  <c r="F19" i="8" a="1"/>
  <c r="F68" i="8" a="1"/>
  <c r="F26" i="8" a="1"/>
  <c r="F115" i="8" a="1"/>
  <c r="F123" i="8" a="1"/>
  <c r="F92" i="8" a="1"/>
  <c r="F72" i="8" a="1"/>
  <c r="F70" i="8" a="1"/>
  <c r="F83" i="8" a="1"/>
  <c r="F4" i="8" a="1"/>
  <c r="F126" i="8" a="1"/>
  <c r="F61" i="8" a="1"/>
  <c r="F32" i="8" a="1"/>
  <c r="F21" i="8" a="1"/>
  <c r="F71" i="8" a="1"/>
  <c r="F31" i="8" a="1"/>
  <c r="F128" i="8" a="1"/>
  <c r="F79" i="8" a="1"/>
  <c r="F120" i="8" a="1"/>
  <c r="F97" i="8" a="1"/>
  <c r="F62" i="8" a="1"/>
  <c r="F117" i="8" a="1"/>
  <c r="F25" i="8" a="1"/>
  <c r="F6" i="8" a="1"/>
  <c r="F131" i="8" a="1"/>
  <c r="F47" i="8" a="1"/>
  <c r="F109" i="8" a="1"/>
  <c r="F99" i="8" a="1"/>
  <c r="F54" i="8" a="1"/>
  <c r="F15" i="8" a="1"/>
  <c r="F113" i="8" a="1"/>
  <c r="F134" i="8" a="1"/>
  <c r="F55" i="8" a="1"/>
  <c r="F75" i="8" a="1"/>
  <c r="F10" i="8" a="1"/>
  <c r="F86" i="8" a="1"/>
  <c r="F85" i="8" a="1"/>
  <c r="F100" i="8" a="1"/>
  <c r="F46" i="8" a="1"/>
  <c r="F76" i="8" a="1"/>
  <c r="F64" i="8" a="1"/>
  <c r="F125" i="8" a="1"/>
  <c r="F22" i="8" a="1"/>
  <c r="F122" i="8" a="1"/>
  <c r="F28" i="8" a="1"/>
  <c r="F78" i="8" a="1"/>
  <c r="F105" i="8" a="1"/>
  <c r="F37" i="8" a="1"/>
  <c r="F41" i="8" a="1"/>
  <c r="F127" i="8" a="1"/>
  <c r="F40" i="8" a="1"/>
  <c r="F58" i="8" a="1"/>
  <c r="F18" i="8" a="1"/>
  <c r="H67" i="8" l="1"/>
  <c r="H66" i="8"/>
  <c r="F135" i="8"/>
  <c r="F123" i="8"/>
  <c r="F111" i="8"/>
  <c r="F99" i="8"/>
  <c r="F87" i="8"/>
  <c r="F75" i="8"/>
  <c r="F59" i="8"/>
  <c r="F130" i="8"/>
  <c r="F122" i="8"/>
  <c r="F114" i="8"/>
  <c r="F106" i="8"/>
  <c r="F98" i="8"/>
  <c r="F90" i="8"/>
  <c r="F82" i="8"/>
  <c r="F70" i="8"/>
  <c r="F38" i="8"/>
  <c r="F49" i="8"/>
  <c r="F125" i="8"/>
  <c r="F113" i="8"/>
  <c r="F101" i="8"/>
  <c r="F89" i="8"/>
  <c r="F77" i="8"/>
  <c r="F73" i="8"/>
  <c r="F61" i="8"/>
  <c r="F57" i="8"/>
  <c r="F53" i="8"/>
  <c r="F45" i="8"/>
  <c r="F41" i="8"/>
  <c r="F37" i="8"/>
  <c r="F33" i="8"/>
  <c r="F29" i="8"/>
  <c r="F25" i="8"/>
  <c r="F21" i="8"/>
  <c r="F17" i="8"/>
  <c r="F13" i="8"/>
  <c r="F9" i="8"/>
  <c r="F5" i="8"/>
  <c r="F129" i="8"/>
  <c r="F117" i="8"/>
  <c r="F105" i="8"/>
  <c r="F93" i="8"/>
  <c r="F81" i="8"/>
  <c r="F69" i="8"/>
  <c r="F128" i="8"/>
  <c r="F120" i="8"/>
  <c r="F112" i="8"/>
  <c r="F104" i="8"/>
  <c r="F100" i="8"/>
  <c r="F92" i="8"/>
  <c r="F84" i="8"/>
  <c r="F76" i="8"/>
  <c r="F68" i="8"/>
  <c r="F60" i="8"/>
  <c r="F56" i="8"/>
  <c r="F48" i="8"/>
  <c r="F44" i="8"/>
  <c r="F40" i="8"/>
  <c r="F36" i="8"/>
  <c r="F32" i="8"/>
  <c r="F28" i="8"/>
  <c r="F24" i="8"/>
  <c r="F16" i="8"/>
  <c r="F12" i="8"/>
  <c r="F8" i="8"/>
  <c r="F4" i="8"/>
  <c r="F133" i="8"/>
  <c r="F121" i="8"/>
  <c r="F109" i="8"/>
  <c r="F97" i="8"/>
  <c r="F85" i="8"/>
  <c r="F65" i="8"/>
  <c r="F132" i="8"/>
  <c r="F124" i="8"/>
  <c r="F116" i="8"/>
  <c r="F108" i="8"/>
  <c r="F96" i="8"/>
  <c r="F88" i="8"/>
  <c r="F80" i="8"/>
  <c r="F72" i="8"/>
  <c r="F64" i="8"/>
  <c r="F52" i="8"/>
  <c r="F20" i="8"/>
  <c r="F51" i="8"/>
  <c r="F131" i="8"/>
  <c r="F115" i="8"/>
  <c r="F103" i="8"/>
  <c r="F91" i="8"/>
  <c r="F79" i="8"/>
  <c r="F71" i="8"/>
  <c r="F67" i="8"/>
  <c r="F55" i="8"/>
  <c r="F47" i="8"/>
  <c r="F43" i="8"/>
  <c r="F39" i="8"/>
  <c r="F35" i="8"/>
  <c r="F31" i="8"/>
  <c r="F27" i="8"/>
  <c r="F23" i="8"/>
  <c r="F19" i="8"/>
  <c r="F15" i="8"/>
  <c r="F11" i="8"/>
  <c r="F7" i="8"/>
  <c r="F3" i="8"/>
  <c r="F127" i="8"/>
  <c r="F119" i="8"/>
  <c r="F107" i="8"/>
  <c r="F95" i="8"/>
  <c r="F83" i="8"/>
  <c r="F63" i="8"/>
  <c r="F134" i="8"/>
  <c r="F126" i="8"/>
  <c r="F118" i="8"/>
  <c r="F110" i="8"/>
  <c r="F102" i="8"/>
  <c r="F94" i="8"/>
  <c r="F86" i="8"/>
  <c r="F78" i="8"/>
  <c r="F74" i="8"/>
  <c r="F66" i="8"/>
  <c r="F62" i="8"/>
  <c r="F58" i="8"/>
  <c r="F54" i="8"/>
  <c r="F50" i="8"/>
  <c r="F46" i="8"/>
  <c r="F42" i="8"/>
  <c r="F34" i="8"/>
  <c r="F30" i="8"/>
  <c r="F26" i="8"/>
  <c r="F22" i="8"/>
  <c r="F18" i="8"/>
  <c r="F14" i="8"/>
  <c r="F10" i="8"/>
  <c r="F6" i="8"/>
  <c r="F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MAIL" description="Conexión a la consulta 'MAIL' en el libro." type="5" refreshedVersion="8" background="1" saveData="1">
    <dbPr connection="Provider=Microsoft.Mashup.OleDb.1;Data Source=$Workbook$;Location=MAIL;Extended Properties=&quot;&quot;" command="SELECT * FROM [MAI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<sst xmlns="http://schemas.openxmlformats.org/spreadsheetml/2006/main" count="2167" uniqueCount="483">
  <si>
    <t>IConstruye</t>
  </si>
  <si>
    <t>iconstruye@iconstruye.com</t>
  </si>
  <si>
    <t>¡Gracias por actualizar tu información! Ya puedes acceder con tu correo a ICONSTRUYE</t>
  </si>
  <si>
    <t>&lt;!DOCTYPE html PUBLIC "-//W3C//DTD XHTML 1.0 Transitional//EN" "http://www.w3.org/TR/xhtml1/DTD/xhtml1-transitional.dtd"&gt;&lt;html xmlns="http://www.w3.org/1999/xhtml"&gt;&lt;head&gt;&lt;meta name="viewport" content="width=device-width" /&gt;&lt;meta http-equiv="Content-Type" content="text/html; charset=UTF-8" /&gt; 	&lt;title&gt;ICONSTRUYE&lt;/title&gt; 	&lt;style type="text/css"&gt;* {margin: 0;font-family: "Helvetica Neue", Helvetica, Arial, sans-serif;box-sizing: border-box;font-size: 14px;}img {max-width: 100%;}body {-webkit-font-smoothing: antialiased;-webkit-text-size-adjust: none;width: 100% !important;height: 100%;line-height: 1.6em;}table td {vertical-align: top;}body {background-color: #f6f6f6;}.body-wrap {background-color: #f6f6f6;width: 100%;}.container {display: block !important;max-width: 600px !important;margin: 0 auto !important;clear: both !important;}.content {max-width: 600px;margin: 0 auto;display: block;padding: 20px;}.main {background-color: #fff;border-bottom: 2px solid #EAEAEA;border-radius: 3px;}.content-wrap {padding: 15px 20px;}.content-block {padding: 0 0 20px;}.header {width: 100%;margin-bottom: 20px;}.pre-footer {width: 100%;clear: both;color: #333;padding: 20px 0px;}.footer {width: 100%;clear: both;color: #999;padding: 15px;}.footer p, .footer a, .footer td {color: #999;font-size: 11px;}.resume-box {background: #FFF0E5;}h1, h2, h3 {color: #000;margin: 20px 0 0;line-height: 1.2em;font-weight: 400;}h1 {font-size: 20px;font-weight: 500;}h2 {font-size: 24px;}h3 {font-size: 18px;}h4 {font-size: 14px;font-weight: 600;}p, ul, ol {margin-bottom: 10px;font-weight: normal;}p li, ul li, ol li {margin-left: 5px;list-style-position: inside;line-height: 1.3em;}a {color: #348eda;text-decoration: underline;}.btn-primary {background:#FF6B00; color:#fff !important; padding:10px 20px; text-decoration: none; border-radius:8px; margin: 10px 0;display:inline-block;font-size: 1.1em;font-weight:bold;line-height: 23px;}.aligncenter {text-align: center;}.alignright {text-align: right;}.alignleft {text-align: left;}.clear {clear: both;}@media only screen and (max-width: 480px) {body {  padding: 0 !important;}h1, h2, h3, h4 { margin: 20px 0 5px !important;}h1 {  font-size: 22px !important;}h2 {  font-size: 18px !important;}h3 {  font-size: 16px !important;}.container {  padding: 0 !important;  width: 100% !important;}.content {  padding: 0 !important;}.content-wrap {  padding: 15px !important;}.mcnImage {max-width:100% !important;width:100% !important;} .img-app{margin-bottom: 10px;} table#banner td.w50{width: 50%;}a.button{width: 70px; margin-bottom: 10px;}span.sub-text{font-size: 16px;}}.sub-text{font-size: 18px;}a.button {     text-decoration: none; }.img-app{border: 1px solid #ff6b00;     border-radius:8px;     padding:5px 20px;   	width:140px;   	height: auto;   	margin-right: 10px;   	cursor: pointer;}&lt;/style&gt; &lt;/head&gt; &lt;body itemscope itemtype="http://schema.org/EmailMessage"&gt; 	&lt;table class="body-wrap"&gt; 		&lt;tr&gt; 			&lt;td&gt;&lt;/td&gt; 			&lt;td class="container" width="600"&gt; 				&lt;table class="main" width="100%" cellpadding="0" cellspacing="0"&gt; 					&lt;tr&gt; 						&lt;td&gt; 							&lt;table class="main" width="100%" cellpadding="0" cellspacing="0"&gt; 								&lt;tr&gt; 									&lt;td valign="top"&gt; 										&lt;img align="center" alt="" src="http://diseno.iconstruye.cl/ic/desarrollando/configuracion-celula/mailing/img/header-generico.png" width="600" style="max-width: 600px;padding-bottom: 0;display: inline !important;vertical-align: bottom;border: 0;height: auto;outline: none;text-decoration: none;-ms-interpolation-mode: bicubic;" class="mcnImage"&gt; 									&lt;/td&gt; 								&lt;/tr&gt; 							&lt;/table&gt; 							&lt;div class="content-wrap"&gt; 								&lt;table width="100%" cellpadding="0" cellspacing="0"&gt; 									&lt;tr&gt; 										&lt;td class="content-block" colspan="2"&gt; 											&lt;h4&gt;&lt;b&gt;¡Datos actualizados correctamente!&lt;/b&gt;&lt;/h4&gt; 										&lt;/td&gt; 									&lt;/tr&gt; 									&lt;tr&gt; 										&lt;td class="content-block"&gt; 											&lt;hr style="border-top: 1px solid #FF3C00;border-bottom: none;"&gt; 										&lt;/td&gt; 									&lt;/tr&gt; 									&lt;tr&gt; 										&lt;td colspan="2"&gt;  											&lt;p style="color:#000"&gt;Hola &lt;b&gt;&lt;nombre_usuario&gt;&lt;/b&gt;,&lt;br&gt;&lt;/p&gt; 										&lt;/td&gt; 									&lt;/tr&gt; 									&lt;tr&gt;&lt;td&gt;&amp;nbsp;&lt;/td&gt;&lt;/tr&gt; 									&lt;tr&gt;&lt;td&gt;&lt;h5&gt;¡Gracias por actualizar tus datos!&lt;/h5&gt;&lt;/td&gt;&lt;/tr&gt; 									&lt;tr&gt;&lt;td&gt;&amp;nbsp;&lt;/td&gt;&lt;/tr&gt; 									&lt;tr&gt;&lt;td&gt;&lt;p&gt;Ya puedes acceder a ICONSTRUYE con tu cuenta de correo electrónico &lt;correo_usuario&gt; y contraseña&lt;/p&gt;&lt;/td&gt;&lt;/tr&gt; 									&lt;tr&gt;&lt;td&gt;&amp;nbsp;&lt;/td&gt;&lt;/tr&gt; 									&lt;tr&gt;&lt;td&gt;Si olvidaste tu contraseña puedes recuperarla &lt;a href="https://cl.iconstruye.com/loginSso.aspx"&gt;aqui&lt;/a&gt;&lt;/td&gt;&lt;/tr&gt; 									&lt;tr&gt;&lt;td&gt;&amp;nbsp;&lt;/td&gt;&lt;/tr&gt; 									&lt;tr class="aligncenter"&gt;       									&lt;td&gt;       										&lt;a href="https://www.iconstruye.com" class="btn-primary"&gt;Ingresa a ICONSTRUYE&lt;/a&gt;       									&lt;/td&gt;       								&lt;/tr&gt;       																&lt;tr&gt;&lt;td&gt;&amp;nbsp;&lt;/td&gt;&lt;/tr&gt;       								&lt;tr&gt;&lt;td&gt;&lt;p&gt;Si tienes alguna duda comunícate con nosotros por correo electrónico a mesadeayuda@iconstruye.com&lt;/p&gt;&lt;/td&gt;&lt;/tr&gt; 								&lt;/table&gt; 							&lt;/div&gt; 							&lt;div class="content-wrap"&gt; 								&lt;table width="100%" cellspacing="0" cellpadding="0"&gt; 									&lt;tr&gt; 										&lt;td class="content-block"&gt;&lt;p style="color:#000"&gt;Saluda atentamente&lt;br&gt;&lt;b style="color:#000"&gt;Equipo ICONSTRUYE &lt;br&gt;&lt;span style="color: #FF6B00;"&gt;ICONSTRUYE®&lt;/span&gt;&lt;/b&gt;&lt;/p&gt; 										&lt;/td&gt; 									&lt;/tr&gt; 								&lt;/table&gt; 							&lt;/div&gt; 							&lt;/td&gt; 						&lt;/tr&gt; 					&lt;/table&gt; 							&lt;div class="pre-footer"&gt; 								&lt;table id="banner" width="100%" style="background-color: #fff; padding: 15px 20px"&gt; 									&lt;tr&gt; 										&lt;td class="w50"&gt; 											&lt;p&gt;Ahora que posees una cuenta,&lt;br&gt;&lt;b&gt;descarga nuestra App mobile&lt;/b&gt;&lt;/p&gt; 										&lt;/td&gt; 										&lt;td class="alignright"&gt; 											&lt;a href="https://play.google.com/store/apps/details?id=iConstruye.Mobile&amp;hl=es_CL&amp;gl=US" target="_blank"&gt;&lt;img align="center" alt="" src="http://diseno.iconstruye.cl//mailing/templates/img/google-play.png" width="100" class="img-app"&gt;&lt;/a&gt; 											&lt;a href="https://apps.apple.com/cl/app/iconstruye/id1408881055" target="_blank"&gt;&lt;img align="center" alt="" src="http://diseno.iconstruye.cl//mailing/templates/img/app-store.png" class="img-app"&gt;&lt;/a&gt; 										&lt;/td&gt; 									&lt;/tr&gt; 								&lt;/table&gt; 							&lt;/div&gt; 							&lt;div class="footer"&gt; 								&lt;table width="100%"&gt; 									&lt;tr&gt; 										&lt;td class="aligncenter content-block"&gt; 											&lt;em style="font-size: 12px !important;"&gt;Correo enviado a través de &lt;a href="https://www.iconstruye.com" style="color: #ff6b00;"&gt;ICONSTRUYE&lt;/a&gt;®&amp;nbsp;·         									Copyright ©&amp;nbsp; Todos los Derechos Reservados&lt;/em&gt;&lt;br&gt; 										&lt;/td&gt; 									&lt;/tr&gt; 								&lt;/table&gt; 							&lt;/div&gt; 							&lt;/td&gt; 							&lt;td&gt; 							&lt;/td&gt; 						&lt;/tr&gt; 					&lt;/table&gt; 					&lt;/body&gt; 					&lt;/html&gt;</t>
  </si>
  <si>
    <t>Se envia cuando se actualizan los datos en el formulario</t>
  </si>
  <si>
    <t>presupuesto_ic@iconstruye.com</t>
  </si>
  <si>
    <t>&lt;TipoDocumento&gt; N° &lt;NumeroDocumento&gt; pendiente de aprobación por Presupuesto Anualizado</t>
  </si>
  <si>
    <t xml:space="preserve"> &lt;!DOCTYPE html&gt; &lt;html lang="en"&gt; &lt;head&gt; &lt;meta http-equiv="Content-Type" content="text/html; charset=UTF-8"&gt; &lt;meta name="viewport" content="width=device-width, initial-scale=1"&gt; &lt;meta http-equiv="X-UA-Compatible" content="IE=edge"&gt; &lt;style type="text/css"&gt; body, table, td, a { -webkit-text-size-adjust: 100%; -ms-text-size-adjust: 100%; font-family: Helvetica, sans-serif; font-weight: 300; color: #333333; font-size: 14px;} &lt;/style&gt; &lt;/head&gt; &lt;body style="margin:0; padding:0; background-color:#fff;"&gt; &lt;span style="display: block; width: 640px !important; max-width: 640px; height: 1px" class="mobileOff"&gt;&lt;/span&gt; &lt;center&gt; &lt;table width="100%" border="0" cellpadding="0" cellspacing="0" bgcolor="#ffffff"&gt; &lt;tr&gt; &lt;td align="center" valign="top"&gt; &lt;table width="640" cellpadding="0" cellspacing="0" border="0" class="wrapper" bgcolor="#FFF"&gt; &lt;tr&gt; &lt;td align="center" valign="top"&gt; &lt;table width="100%" cellpadding="0" cellspacing="0" border="0" class="container"&gt; &lt;tr&gt; &lt;td height="20" style="font-size:10px; line-height:20px;"&gt;&amp;nbsp;&lt;/td&gt; &lt;/tr&gt; &lt;tr&gt; &lt;td class="mobile" align="center" valign="middle" style="padding:10px; text-align:center;"&gt; &lt;img class="logo" src="https://cl.iconstruye.com/images/FrameSuperior/logo_iConstruye.png"&gt; &lt;/td&gt; &lt;/tr&gt; &lt;/table&gt; &lt;/td&gt; &lt;/tr&gt; &lt;/table&gt; &lt;table width="640" cellpadding="0" cellspacing="0" border="0" class="wrapper" bgcolor="#FFFFFF"&gt; &lt;tr&gt; &lt;td align="center" valign="top" style="padding: 0;"&gt; &lt;table width="100%" cellpadding="0" cellspacing="0" border="0" class="container"&gt; &lt;tr&gt; &lt;td align="left" valign="middle" height="90"&gt; &lt;h3 style="font-size: 2em; font-weight: 300; color: #333333; -webkit-margin-before: 1em; -webkit-margin-after: 0.5em; text-align:center;"&gt;Documento pendiente de aprobación por Presupuesto Anualizado&lt;/h3&gt; &lt;/td&gt; &lt;/tr&gt; &lt;/table&gt; &lt;/td&gt; &lt;/tr&gt; &lt;/table&gt; &lt;table width="640" cellpadding="0" cellspacing="0" border="0" class="wrapper" bgcolor="#FFFFFF"&gt; &lt;tr&gt; &lt;td align="center" valign="top" style="padding: 0;"&gt; &lt;table width="100%" cellpadding="0" cellspacing="0" border="0" class="container"&gt; &lt;tr&gt; &lt;td class="mobile" align="left" valign="top"&gt; &lt;p style=" font-size: 1.1em; line-height: 1.7em; text-align: left;"&gt;&lt;strong&gt;&lt;NombreUsuarioAprobador&gt;&lt;/strong&gt;, te informamos que el documento N° &lt;strong&gt;&lt;NumeroDocumento&gt;&lt;/strong&gt; se encuentra creado con fecha &lt;strong&gt;&lt;FechaMovimiento&gt;&lt;/strong&gt; y está en espera de tu aprobación en el Centro de Gestión &lt;strong&gt;&lt;CentroGestion&gt;&lt;/strong&gt;.&lt;/p&gt; &lt;ul style="margin:0;padding:0;list-style-type:none;line-height:30px;" class="data-list"&gt; &lt;li style="border-bottom:1px solid #eee;"&gt;&lt;span style="width:30%;display:inline-block;"&gt;Tipo de Documento:&lt;/span&gt; &lt;strong&gt;&lt;TipoDocumento&gt;&lt;/strong&gt;&lt;/li&gt; &lt;li style="border-bottom:1px solid #eee;"&gt;&lt;span style="width:30%;display:inline-block;"&gt;Nombre de Documento:&lt;/span&gt; &lt;strong&gt;&lt;NombreDocumento&gt;&lt;/strong&gt;&lt;/li&gt; &lt;li style="border-bottom:1px solid #eee;"&gt;&lt;span style="width:30%;display:inline-block;"&gt;Solicitante:&lt;/span&gt; &lt;strong&gt;&lt;NombreUsuarioSolicitante&gt;&lt;/strong&gt;&lt;/li&gt; &lt;li style="border-bottom:1px solid #eee;"&gt;&lt;span style="width:30%;display:inline-block;"&gt;Monto:&lt;/span&gt; &lt;strong&gt;&lt;Monto&gt;&lt;/strong&gt;&lt;/li&gt; &lt;/ul&gt; &lt;/td&gt; &lt;/tr&gt; &lt;/table&gt; &lt;/td&gt; &lt;/tr&gt; &lt;/table&gt; &lt;table width="640" cellpadding="0" cellspacing="0" border="0" class="wrapper" bgcolor="#FFFFFF"&gt; &lt;tr&gt; &lt;td height="10" style="font-size:10px; line-height:10px;"&gt;&amp;nbsp;&lt;/td&gt; &lt;/tr&gt; &lt;tr&gt; &lt;td align="center" valign="top" style="padding: 10px 0;"&gt; &lt;table width="100%" cellpadding="0" cellspacing="0" border="0" class="container"&gt; &lt;tr&gt; &lt;td class="mobile" align="left" valign="top"&gt; &lt;p style=" font-size: 1.1em; line-height: 1.7em; text-align: left; margin-bottom: 30px;"&gt;Consulta el estado de todos tus documentos en la sección "Presupuesto / Presupuesto Anualizado / Aprobar Documentos".&lt;/p&gt; &lt;/td&gt; &lt;/tr&gt; &lt;tr&gt; &lt;td class="mobile" align="center" valign="top"&gt; &lt;a href="http://www.iconstruye.com" style="background:#5CB85C; color:#fff; padding:10px 20px; text-decoration: none; border-radius:2px; margin: 10px 0;display:inline-block;font-size: 1.1em;font-weight: 400;line-height: 23px;"&gt;Ir a iConstruye.com&lt;/a&gt; &lt;/td&gt; &lt;/tr&gt; &lt;tr&gt; &lt;td height="20" style="font-size:10px; line-height:10px;"&gt;&amp;nbsp;&lt;/td&gt; &lt;/tr&gt; &lt;/table&gt; &lt;/td&gt; &lt;/tr&gt; &lt;/table&gt; &lt;table width="640" cellpadding="0" cellspacing="0" border="0" class="wrapper" bgcolor="#F2F2F2"&gt; &lt;tr&gt; &lt;td class="mobile footer" align="center" valign="middle" style="padding:5px 10px;"&gt; &lt;img src="https://cl.iconstruye.com/images/FrameSuperior/logo_iConstruye.png"&gt; &lt;/td&gt; &lt;/tr&gt; &lt;tr&gt; &lt;td align="center" valign="top"&gt; &lt;table width="100%" cellpadding="0" cellspacing="0" border="0" class="container"&gt; &lt;tr&gt; &lt;td class="mobile footer" align="center" valign="top"&gt; &lt;p style="line-height: 1.5em; font-size: 11px; text-align: center; color: #999999;"&gt;Correo enviado a trav&amp;eacute;s de iConstruye | Todos los Derechos Reservados&lt;br /&gt;&lt;/p&gt; &lt;/td&gt; &lt;/tr&gt; &lt;/table&gt; &lt;/td&gt; &lt;/tr&gt; &lt;/table&gt;   &lt;/td&gt; &lt;/tr&gt; &lt;/table&gt; &lt;/center&gt; &lt;/body&gt; &lt;/html&gt; 		 </t>
  </si>
  <si>
    <t>Se envía correo al generar documento con flujo de aprobación por presupuesto anualizado</t>
  </si>
  <si>
    <t>Cuenta de costo excedida en Presupuesto Anualizado al &lt;FechaEjecucion&gt;</t>
  </si>
  <si>
    <t xml:space="preserve"> &lt;!DOCTYPE html&gt; &lt;html lang="en"&gt; &lt;head&gt; &lt;meta http-equiv="Content-Type" content="text/html; charset=UTF-8"&gt; &lt;meta name="viewport" content="width=device-width, initial-scale=1"&gt; &lt;meta http-equiv="X-UA-Compatible" content="IE=edge"&gt; &lt;style type="text/css"&gt; body, table, td, a { -webkit-text-size-adjust: 100%; -ms-text-size-adjust: 100%; font-family: Helvetica, sans-serif; font-weight: 300; color: #333333; font-size: 14px;} &lt;/style&gt;     &lt;/head&gt; &lt;body style="margin:0; padding:0; background-color:#fff;"&gt; &lt;span style="display: block; width: 840px !important; max-width: 840px; height: 1px" class="mobileOff"&gt;&lt;/span&gt; &lt;center&gt; &lt;table width="100%" border="0" cellpadding="0" cellspacing="0" bgcolor="#ffffff"&gt; &lt;tr&gt; &lt;td align="center" valign="top"&gt; &lt;table width="840" cellpadding="0" cellspacing="0" border="0" class="wrapper" bgcolor="#FFF"&gt; &lt;tr&gt; &lt;td align="center" valign="top"&gt; &lt;table width="800" cellpadding="0" cellspacing="0" border="0" class="container"&gt; &lt;tr&gt; &lt;td class="mobile" align="center" valign="middle" style="padding:10px; text-align:center;"&gt; &lt;img class="logo" src="https://cl.iconstruye.com/images/FrameSuperior/logo_iConstruye.png"&gt; &lt;/td&gt; &lt;/tr&gt; &lt;/table&gt; &lt;/td&gt; &lt;/tr&gt; &lt;/table&gt; &lt;table width="840" cellpadding="0" cellspacing="0" border="0" class="wrapper" bgcolor="#FFFFFF"&gt; &lt;tr&gt; &lt;td align="center" valign="top" style="padding: 0;"&gt; &lt;table width="800" cellpadding="0" cellspacing="0" border="0" class="container"&gt; &lt;tr&gt; &lt;td align="left" valign="middle" height="90"&gt; &lt;h3 style="font-size: 2em; font-weight: 300; color: #333333; -webkit-margin-before: 1em; -webkit-margin-after: 0.5em; text-align:center;"&gt;Cuenta de costo &lt;strong&gt;excedida en presupuesto&lt;/strong&gt;&lt;/h3&gt; &lt;/td&gt; &lt;/tr&gt; &lt;/table&gt; &lt;/td&gt; &lt;/tr&gt; &lt;/table&gt; &lt;table width="840" cellpadding="0" cellspacing="0" border="0" class="wrapper" bgcolor="#FFFFFF"&gt; &lt;tr&gt; &lt;td align="center" valign="top" style="padding: 0;"&gt; &lt;table width="800" cellpadding="0" cellspacing="0" border="0" class="container"&gt; &lt;tr&gt; &lt;td class="mobile" align="left" valign="top"&gt; &lt;p style=" font-size: 1.1em; line-height: 1.7em; text-align: justify;"&gt;Estimado(a) Usuario, te informamos que las siguientes Cuentas de Costos han excedido el monto presupuestado en el Centro de Gestión &lt;strong&gt;&lt;CentroGestion&gt;&lt;/strong&gt;:&lt;/p&gt; &lt;/td&gt; &lt;/tr&gt; &lt;/table&gt; &lt;/td&gt; &lt;/tr&gt; &lt;/table&gt; &lt;table width="800" cellpadding="0" cellspacing="0" border="0" class="wrapper" bgcolor="#fff" style="border-top: 1px solid #fff;"&gt; &lt;tr&gt; &lt;td height="10" style="font-size:10px; line-height:10px;"&gt;&amp;nbsp;&lt;/td&gt; &lt;/tr&gt; &lt;tr&gt; &lt;td align="center" valign="top" style="border-bottom: 1px solid #fff;"&gt; &lt;table width="100%" cellpadding="0" cellspacing="0" border="0" class="adaptative" bgcolor="#fff"&gt; &lt;thead&gt; &lt;tr bgcolor="#fff"&gt; &lt;td align="left" valign="top" style=" border-bottom:1px solid #eee; padding:0 10px; vertical-align: middle;" width="22%"&gt; &lt;h3 class="cabecera" style="font-size: 0.8em; font-weight: 500; line-height: 1.4em; margin: 10px 0px;"&gt;&lt;strong&gt;Cuenta de Costo&lt;/strong&gt;&lt;/h3&gt; &lt;/td&gt; &lt;td align="left" valign="top" style=" border-bottom:1px solid #eee; padding:0 10px;" width="13%"&gt; &lt;h3 class="cabecera" style="font-size: 0.8em; font-weight: 500; line-height: 1.4em; margin: 10px 0px;"&gt;&lt;strong&gt;Monto presupuestado del mes&lt;/strong&gt;&lt;/h3&gt; &lt;/td&gt; &lt;td align="left" valign="top" style=" border-bottom:1px solid #eee; padding:0 10px;" width="13%"&gt; &lt;h3 class="cabecera" style="font-size: 0.8em; font-weight: 500; line-height: 1.4em; margin: 10px 0px;"&gt;&lt;strong&gt;Monto comprometido del mes&lt;/strong&gt;&lt;/h3&gt; &lt;/td&gt; &lt;td align="left" valign="top" style=" border-bottom:1px solid #eee; padding:0 10px;" width="13%"&gt; &lt;h3 class="cabecera" style="font-size: 0.8em; font-weight: 500; line-height: 1.4em; margin: 10px 0px;"&gt;&lt;strong&gt;Diferencia del mes&lt;/strong&gt;&lt;/h3&gt; &lt;/td&gt; &lt;td align="left" valign="top" style=" border-bottom:1px solid #eee; padding:0 10px;" width="13%"&gt; &lt;h3 class="cabecera" style="font-size: 0.8em; font-weight: 500; line-height: 1.4em; margin: 10px 0px;"&gt;&lt;strong&gt;Monto presupuestado acumulado&lt;/strong&gt;&lt;/h3&gt; &lt;/td&gt; &lt;td align="left" valign="top" style=" border-bottom:1px solid #eee; padding:0 10px;" width="13%"&gt; &lt;h3 class="cabecera" style="font-size: 0.8em; font-weight: 500; line-height: 1.4em; margin: 10px 0px;"&gt;&lt;strong&gt;Monto comprometido acumulado&lt;/strong&gt;&lt;/h3&gt; &lt;/td&gt; &lt;td align="left" valign="top" style=" border-bottom:1px solid #eee; padding:0 10px;" width="13%"&gt; &lt;h3 class="cabecera" style="font-size: 0.8em; font-weight: 500; line-height: 1.4em; margin: 10px 0px;"&gt;&lt;strong&gt;Diferencia acumulado&lt;/strong&gt;&lt;/h3&gt; &lt;/td&gt; &lt;/tr&gt; &lt;/thead&gt; &lt;tbody&gt; &lt;idTrCuentas&gt; &lt;/tbody&gt; &lt;/table&gt; &lt;/td&gt; &lt;/tr&gt; &lt;tr&gt; &lt;td height="10" style="font-size:10px; line-height:10px; background-color: #fff;"&gt;&amp;nbsp;&lt;/td&gt; &lt;/tr&gt; &lt;/table&gt; &lt;table width="840" cellpadding="0" cellspacing="0" border="0" class="wrapper" bgcolor="#FFFFFF"&gt; &lt;tr&gt; &lt;td height="10" style="font-size:10px; line-height:10px;"&gt;&amp;nbsp;&lt;/td&gt; &lt;/tr&gt; &lt;tr&gt; &lt;td align="center" valign="top" style="padding: 10px 0;"&gt; &lt;table width="800" cellpadding="0" cellspacing="0" border="0" class="container"&gt; &lt;tr&gt; &lt;td class="mobile" align="left" valign="top"&gt; &lt;p style=" font-size: 1.1em; line-height: 1.7em; text-align: justify; margin-bottom: 30px;"&gt;Consulta el detalle del Presupuesto en el reporte "Presupuesto / Presupuesto Anualizado / Bandeja de Presupuesto".&lt;/p&gt; &lt;/td&gt; &lt;/tr&gt; &lt;tr&gt; &lt;td class="mobile" align="center" valign="top"&gt; &lt;a href="http://www.iconstruye.com" style="background:#5CB85C; color:#fff; padding:10px 20px; text-decoration: none; border-radius:2px; margin: 10px 0;display:inline-block;font-size: 1.1em;font-weight: 400;line-height: 23px;"&gt;Ir a iConstruye.com&lt;/a&gt; &lt;/td&gt; &lt;/tr&gt; &lt;tr&gt; &lt;td height="20" style="font-size:10px; line-height:10px;"&gt;&amp;nbsp;&lt;/td&gt; &lt;/tr&gt; &lt;/table&gt; &lt;/td&gt; &lt;/tr&gt; &lt;/table&gt; &lt;table width="840" cellpadding="0" cellspacing="0" border="0" class="wrapper" bgcolor="#F2F2F2"&gt; &lt;tr&gt; &lt;td class="mobile footer" align="center" valign="middle" style="padding:5px 10px;"&gt; &lt;img src="https://cl.iconstruye.com/images/FrameSuperior/logo_iConstruye.png"&gt; &lt;/td&gt; &lt;/tr&gt; &lt;tr&gt; &lt;td align="center" valign="top"&gt; &lt;table width="100%" cellpadding="0" cellspacing="0" border="0" class="container"&gt; &lt;tr&gt; &lt;td class="mobile footer" align="center" valign="top"&gt; &lt;p style="line-height: 1.5em; font-size: 11px; text-align: center; color: #999999;"&gt;Correo enviado a trav&amp;eacute;s de iConstruye | Todos los Derechos Reservados&lt;br /&gt;&lt;/p&gt; &lt;/td&gt; &lt;/tr&gt; &lt;/table&gt; &lt;/td&gt; &lt;/tr&gt; &lt;/table&gt;   &lt;/td&gt; &lt;/tr&gt; &lt;/table&gt; &lt;/center&gt; &lt;/body&gt; &lt;/html&gt; 		 </t>
  </si>
  <si>
    <t>Se envía correo al detectar cuentas de costo con Presupuesto Anualizado excedido, de acuerdo a configuración de tabla PA_FrecuenciaNotificacion</t>
  </si>
  <si>
    <t>Aprobación de Traspaso &lt;numtraspaso&gt;</t>
  </si>
  <si>
    <t>Estimado(a) Sr(a). &lt;nombusuario&gt;:&lt;br&gt;&lt;br&gt;Junto con saludarle, informamos a usted que tiene un nuevo Traspaso Pendiente de Aprobar.&lt;br&gt;&lt;br&gt;Solicitante:     &lt;nombre de quien hace el traspaso&gt;&lt;br&gt;N° del Traspaso:    &lt;numtraspaso&gt;&lt;br&gt;N° del Documento:    &lt;numrespaldo&gt;&lt;br&gt;Centro de Gestión de origen:   &lt;nomorgc&gt;&lt;br&gt;Fecha del Traspaso:   &lt;fechaenvio&gt;&lt;br&gt;Centro de Gestión de destino:   &lt;nomorgcdestino&gt;&lt;br&gt;&lt;br&gt;Podrá Aprobar este traspaso ingresando al módulo Bodega, opción Salida, Aprobar Traspasos. En caso de requerir información adicional, comuníquese con nosotros al 486 11 11.&lt;br&gt;&lt;br&gt;&lt;br&gt;Atentamente,&lt;br&gt;&lt;br&gt;Equipo iConstruye&lt;br&gt;&lt;link&gt;&lt;br&gt;Mesa de Ayuda&lt;br&gt;486 11 11&lt;br&gt;&lt;img src="http://cl.iconstruye.com/images/logo.jpg" /img&gt;</t>
  </si>
  <si>
    <t>Traspaso, Envío a Aprobación</t>
  </si>
  <si>
    <t>Rechazo de Traspaso &lt;numtraspaso&gt;</t>
  </si>
  <si>
    <t>Estimado(a) Sr(a). &lt;nombusuario&gt;:&lt;br&gt;&lt;br&gt;Junto con saludarle, informamos a usted que el siguiente Traspaso ha sido Rechazado.&lt;br&gt;&lt;br&gt;Solicitante:     &lt;nombre de quien hace el traspaso&gt;&lt;br&gt;N° del Traspaso:    &lt;numtraspaso&gt;&lt;br&gt;N° del Documento:    &lt;numrespaldo&gt;&lt;br&gt;Centro de Gestión de origen:   &lt;nomorgc&gt;&lt;br&gt;Fecha del Traspaso:   &lt;fechaenvio&gt;&lt;br&gt;Centro de Gestión de destino:   &lt;nomorgcdestino&gt;&lt;br&gt;&lt;br&gt;&lt;br&gt;Fecha Rechazo:   &lt;fechaaprobacion&gt;&lt;br&gt;Rechazado por:  &lt;nombaprobador&gt;&lt;br&gt;Comentario:   &lt;Rechazo&gt;&lt;br&gt;&lt;br&gt;Para mayores antecedentes, ingrese al módulo Bodega, opción Salida, Consultar Traspasos, para ver el motivo del rechazo. En caso de requerir información adicional, comuníquese con nosotros al 486 11 11.&lt;br&gt;&lt;br&gt;&lt;br&gt;Atentamente,&lt;br&gt;&lt;br&gt;Equipo iConstruye&lt;br&gt;&lt;link&gt;&lt;br&gt;Mesa de Ayuda&lt;br&gt;486 11 11&lt;br&gt;&lt;img src="http://cl.iconstruye.com/images/logo.jpg" /img&gt;</t>
  </si>
  <si>
    <t>Traspaso, Rechazado Aprobador</t>
  </si>
  <si>
    <t>Iconstruye</t>
  </si>
  <si>
    <t>Orden de Compra, Rechazo de Adjudicacion</t>
  </si>
  <si>
    <t>Estimado Sr(a). &lt;nombusuario&gt;: &lt;br&gt;&lt;br&gt;Junto con saludarle, le informamos que la siguiente Orden de Compra generada por usted ha sido Rechazada su Adjudicación. &lt;br&gt;&lt;br&gt;Nº de OC:   &lt;numoc&gt; &lt;br&gt;Nombre OC:  &lt;nomoc&gt;&lt;br&gt;Centro de Gestión:  &lt;nomborgc&gt; &lt;br&gt;Fecha envío OC:  &lt;fechaenvio&gt; &lt;br&gt;Rechazado por: &lt;nombaprobador&gt; &lt;br&gt;Comentario:  Rechazo en proceso de Adjudicación &lt;br&gt;&lt;br&gt;Para revisar mayores antecedentes, ingrese al módulo Compras de nuestro sistema.&lt;br&gt;&lt;br&gt;&lt;br&gt;Atentamente,&lt;br&gt;&lt;br&gt;Equipo iConstruye&lt;br&gt;&lt;link&gt;&lt;br&gt;Mesa de Ayuda&lt;br&gt;486 11 11&lt;br&gt;&lt;img src="http://cl.iconstruye.com/images/logo.jpg" /img&gt;</t>
  </si>
  <si>
    <t xml:space="preserve">B2B Echeverria Izquierdo </t>
  </si>
  <si>
    <t>b2becheverriaizquierdo@iconstruye.com</t>
  </si>
  <si>
    <t>Nueva(s) Órden(es) de Compra de {EmpresaCompradora}</t>
  </si>
  <si>
    <t>&lt;!DOCTYPE html&gt; &lt;html lang="es"&gt; &lt;head&gt; 	&lt;meta charset="UTF-8"&gt; 	&lt;style type="text/css"&gt; 		body { 			font-family: Arial, Helvetica, sans-serif; 			font-size: small; 			padding: 12px; 		}  		p { 			text-align: justify; 		}  		p.parrafo { 			text-indent: 24px; 		} 	&lt;/style&gt; &lt;/head&gt; &lt;body&gt; 	&lt;p&gt;&lt;strong&gt;Estimado Señor {NombreDestinatario}&lt;/strong&gt;&lt;/p&gt; 	&lt;br&gt;&lt;br&gt; 	&lt;p class="parrafo"&gt;Por Encargo de &lt;strong&gt;{EmpresaCompradora}&lt;/strong&gt; le informamos que se ha(n) generado la(s) siguiente(s) Órden(es) de Compra:&lt;/p&gt; 	&lt;br&gt; 	&lt;p&gt;&lt;strong&gt;Órdenes de Compra:&lt;/strong&gt;&lt;/p&gt; 	{ListaOC} 	&lt;br&gt;&lt;br&gt; 	&lt;p class="parrafo"&gt;Para Aceptar o Rechazar esta(s) Órden(es) de Compra, debe responder a este Correo, &lt;strong&gt;como Plazo Máximo dentro de 8 horas hábiles&lt;/strong&gt;, señalando claramente su desición. En caso de Rechazar la(s) OC debe explicar claramente las razones del rechazo.&lt;/p&gt; 	&lt;p class="parrafo"&gt;&lt;strong&gt;Si usted no es el representante interno en su organización para gestionar esta Orden de Compra,responda este correo indicado el nombre y correo electrónico del contacto&lt;/strong&gt;.&lt;/p&gt; 	&lt;p class="parrafo"&gt;&lt;a clicktracking=off  href="https://www.iconstruye.com/"&gt;Contáctenos&lt;/a&gt; para su incorporación como &lt;a clicktracking=off href="https://www.iconstruye.com/"&gt;Proveedor Integrado&lt;/a&gt;, a la Comunidad de Iconstruye y realizar enlínea la gestión completa de sus negocios con &lt;strong&gt;{EmpresaCompradora}&lt;/strong&gt; y con las otras 200 &lt;a clicktracking=off  href="https://cl.iconstruye.com/lista_clientes/pdf/constructoras-201806.pdf"&gt;Constructoras&lt;/a&gt; que gestionan su abastecimiento a través de &lt;a clicktracking=off href="https://www.iconstruye.com/"&gt;www.iconstruye.com&lt;/a&gt;&lt;/p&gt; 	&lt;br&gt;&lt;br&gt; 	&lt;p class="parrafo"&gt;&lt;strong&gt;NOTAS:&lt;/strong&gt; {Mensaje}&lt;/p&gt; 	&lt;br&gt;&lt;br&gt; 	&lt;p&gt;Atentamente,&lt;/p&gt; 	&lt;p&gt;IConstruye S.A.&lt;/p&gt; 	&lt;p&gt;Servicio de Activación de Órdenes de Compra.&lt;/p&gt; 	&lt;img src="http://cl.iconstruye.com/images/logo.jpg" /&gt; &lt;/body&gt; &lt;/html&gt;</t>
  </si>
  <si>
    <t>Aviso de Nueva Orden de Compra a Proveedor No Integrado (PNI)</t>
  </si>
  <si>
    <t>iConstruye</t>
  </si>
  <si>
    <t>Alerta de envío de documento con  parte relacionada. &lt;tipodoc&gt; N°&lt;numdoc&gt;</t>
  </si>
  <si>
    <t>Estimado Sr. &lt;nombreContralor&gt;:&lt;br&gt;&lt;br&gt; Junto con saludarle, informamos a usted que el &lt;fechEnvioDoc&gt;, se ha generado un documento &lt;tipoDoc&gt; N° &lt;numdoc&gt; el cual es una operación con parte relacionada.  &lt;br&gt;&lt;br&gt;Tipo: &lt;rolParteRelacionada&gt; &lt;br&gt; RUT: &lt;rutParteRelacionada&gt; &lt;br&gt;&lt;br&gt; Puede revisar más detalles ingresando a “Consulta Operaciones” en el módulo de Contraloría. &lt;br&gt;&lt;br&gt;&lt;br&gt; Atentamente,&lt;br&gt;&lt;br&gt; Equipo iConstruye&lt;br&gt;&lt;link&gt;&lt;br&gt; Mesa de Ayuda&lt;br&gt; 2486 11 11&lt;br&gt; &lt;img src="http://cl.iconstruye.com/images/logo.jpg" /img&gt;</t>
  </si>
  <si>
    <t>Notificación operacion con parterelacionada</t>
  </si>
  <si>
    <t>Alerta de envío de documento con  parte relacionada. [No justificado] &lt;tipodoc&gt; N°&lt;numdoc&gt;</t>
  </si>
  <si>
    <t>Estimado Sr. &lt;nombreContralor&gt;:&lt;br&gt;&lt;br&gt; Junto con saludarle, informamos a usted que el &lt;fechEnvioDoc&gt;, se ha generado un documento &lt;tipoDoc&gt; N° &lt;numdoc&gt; el cual es una operación con parte relacionada y no fué justificada con adjunto DPR.  &lt;br&gt;&lt;br&gt;Tipo: &lt;rolParteRelacionada&gt; &lt;br&gt; RUT: &lt;rutParteRelacionada&gt; &lt;br&gt;&lt;br&gt; Puede revisar más detalles ingresando a “Consulta Operaciones” en el módulo de Contraloría. &lt;br&gt;&lt;br&gt;&lt;br&gt; Atentamente,&lt;br&gt;&lt;br&gt; Equipo iConstruye&lt;br&gt;&lt;link&gt;&lt;br&gt; Mesa de Ayuda&lt;br&gt; 2486 11 11&lt;br&gt; &lt;img src="http://cl.iconstruye.com/images/logo.jpg" /img&gt;</t>
  </si>
  <si>
    <t>Notificación operacion con parterelacionada no justificada</t>
  </si>
  <si>
    <t>Registro Proveedor - &lt;NombrePortal&gt; - &lt;NombreRemitente&gt;</t>
  </si>
  <si>
    <t>&lt;DireccionRemitente&gt;</t>
  </si>
  <si>
    <t>Solicitud de Contacto Portal &lt;NombrePortal&gt;</t>
  </si>
  <si>
    <t>Template en Proyecto Web</t>
  </si>
  <si>
    <t>Correo que envían los usuarios que se quieren registrar en el Portal de Proveedores (Portal de Pagos).</t>
  </si>
  <si>
    <t xml:space="preserve">Cierre de Cotización </t>
  </si>
  <si>
    <t>Estimado Sr. &lt;nombsolicitante&gt;:&lt;br&gt;&lt;br&gt;Junto con saludarle, informamos a usted que la siguiente Cotización ha finalizado su tiempo para recibir ofertas:&lt;br&gt;&lt;br&gt;Nº de Cotización:  &lt;numcz&gt;&lt;br&gt;Nombre Cotización:  &lt;nomcz&gt;&lt;br&gt;Empresa:    &lt;nombempresa&gt;&lt;br&gt;Centro de Gestión:  &lt;orgc&gt;&lt;br&gt;&lt;br&gt;Tiempo Duración:            &lt;tiempocz&gt;&lt;br&gt;  &lt;br&gt;Revise más antecedentes en el Módulo Cotizaciones.&lt;br&gt;&lt;br&gt;&lt;br&gt;Atentamente,&lt;br&gt;&lt;br&gt;Equipo iConstruye&lt;br&gt;&lt;link&gt;&lt;br&gt;Mesa de Ayuda&lt;br&gt; +  56 22 486 11 11&lt;br&gt;&lt;img src="http://cl.iconstruye.com/images/logo.jpg" /img&gt;</t>
  </si>
  <si>
    <t>Cotizaciones, Cierre</t>
  </si>
  <si>
    <t>Adjudicación Cotización</t>
  </si>
  <si>
    <t>Estimados Sres. Empresa &lt;nombproveedor&gt;: &lt;br&gt; &lt;br&gt; Le informamos que su empresa ha sido ganadora del proceso de cotización de  &lt;nombempresa&gt; con su oferta &lt;nomof&gt;.&lt;br&gt; &lt;br&gt; No. Cotización :  &lt;numcz&gt;&lt;br&gt; Nombre            : &lt;nomcz&gt; &lt;br&gt; &lt;br&gt; Felicitaciones,&lt;br&gt; &lt;br&gt; Iconstruye&lt;br&gt; Mi brazo derecho&lt;br&gt; &lt;link&gt;</t>
  </si>
  <si>
    <t>Cotizaciones, Adjudicación</t>
  </si>
  <si>
    <t>Cotización No Aceptada</t>
  </si>
  <si>
    <t>Estimados Sres. Empresa &lt;nombproveedor&gt;:&lt;br&gt; &lt;br&gt; Le informamos que &lt;nombempresa&gt; ha seleccionado otra alternativa de cotización .&lt;br&gt;  &lt;br&gt; Atentamente,&lt;br&gt; &lt;br&gt; Iconstruye&lt;br&gt; Mi brazo derecho&lt;br&gt; &lt;link&gt;</t>
  </si>
  <si>
    <t>Cotizaciones, No Aceptada</t>
  </si>
  <si>
    <t>Cotización Desierta</t>
  </si>
  <si>
    <t>Estimados Sres. Empresa &lt;nombproveedor&gt;:&lt;br&gt; &lt;br&gt; Le informamos que la empresa &lt;nombempresa&gt; ha declarado desierta la cotización de &lt;numcz&gt;/&lt;nomcz&gt;.&lt;br&gt; &lt;br&gt; Atentamente,&lt;br&gt; &lt;br&gt; Iconstruye&lt;br&gt; Mi brazo derecho&lt;br&gt; &lt;link&gt;</t>
  </si>
  <si>
    <t>Cotizaciones, Desierta</t>
  </si>
  <si>
    <t>Adelanto de adjudicación</t>
  </si>
  <si>
    <t>Estimados Sres. Empresa &lt;nombproveedor&gt;:&lt;br&gt; &lt;br&gt; La empresa&lt;nombempresa&gt; adelantó la adjudicación de &lt;numcz&gt;/&lt;nomcz&gt; para el &lt;fehaadjudicacion&gt; y seleccionó otra alternativa de cotización.&lt;br&gt; &lt;br&gt; Atentamente,&lt;br&gt; &lt;br&gt; Iconstruye&lt;br&gt; Mi brazo derecho&lt;br&gt; &lt;link&gt;</t>
  </si>
  <si>
    <t>Cotizaciones, Adelanto de Adjudicación</t>
  </si>
  <si>
    <t>Confirmación de Recepción de Orden de Compra</t>
  </si>
  <si>
    <t>Estimado Sr. &lt;nombsolicitante&gt;:&lt;br&gt;&lt;br&gt;Junto con saludarle, informamos a usted que la empresa &lt;nombproveedor&gt; ha recibido conforme la Orden de Compra Nº &lt;numoc&gt;, &lt;nomoc&gt;.&lt;br&gt;&lt;br&gt;&lt;br&gt;Atentamente,&lt;br&gt;&lt;br&gt;Equipo iConstruye&lt;br&gt;&lt;link&gt;&lt;br&gt;Mesa de Ayuda&lt;br&gt;486 11 11&lt;br&gt;&lt;img src="http://cl.iconstruye.com/images/logo.jpg" /img&gt;</t>
  </si>
  <si>
    <t>Orden de Compra, Recepción Proveedor</t>
  </si>
  <si>
    <t xml:space="preserve">Rechazo de solicitud de cancelación </t>
  </si>
  <si>
    <t>Estimado Sr. &lt;nombsolicitante&gt;:&lt;br&gt;&lt;br&gt;Junto con saludarle, informamos a usted que la empresa &lt;nombproveedor&gt; No Aceptó su Solicitud de Cancelación para la Orden de Compra Nº &lt;numoc&gt;, &lt;nomoc&gt;.&lt;br&gt;&lt;br&gt;Para más antecedentes, ingrese al módulo Compras. &lt;br&gt;&lt;br&gt;&lt;br&gt;Atentamente,&lt;br&gt;&lt;br&gt;Equipo iConstruye&lt;br&gt;&lt;link&gt;&lt;br&gt;Mesa de Ayuda&lt;br&gt;486 11 11&lt;br&gt;&lt;img src="http://cl.iconstruye.com/images/logo.jpg" /img&gt;</t>
  </si>
  <si>
    <t>Orden de Compra, Rechazo Solicitud Cancelación</t>
  </si>
  <si>
    <t>Factura en Espera de Aprobación (Tiempo Excedido)</t>
  </si>
  <si>
    <t>Estimado Sr. &lt;nombaprobador&gt;:&lt;br&gt;&lt;br&gt;Junto con saludarle, informamos a usted que tiene una nueva Factura a la espera de su Aprobación.&lt;br&gt;&lt;br&gt;Solicitante:    &lt;nombsolicitante&gt;&lt;br&gt;N° de Factura:   &lt;numfc&gt;&lt;br&gt;Centro de Gestión:   &lt;nomborgc&gt;&lt;br&gt;Fecha Recepción:   &lt;fecharecepcion&gt;&lt;br&gt;Tipo Aprobación:  Supera el monto del comprador &lt;br&gt;&lt;br&gt;&lt;br&gt;Atentamente,&lt;br&gt;&lt;br&gt;Equipo iConstruye&lt;br&gt;&lt;link&gt;&lt;br&gt;Mesa de Ayuda&lt;br&gt;486 11 11&lt;br&gt;&lt;img src="http://cl.iconstruye.com/images/logo.jpg" /img&gt;</t>
  </si>
  <si>
    <t>Factura, Envío a Aprobación por Tiempo Excedido</t>
  </si>
  <si>
    <t xml:space="preserve"> &lt;nombsitio&gt; solicitud para recuperación de contraseña</t>
  </si>
  <si>
    <t>&lt;!DOCTYPE html PUBLIC "-//W3C//DTD XHTML 1.0 Transitional//EN" "http://www.w3.org/TR/xhtml1/DTD/xhtml1-transitional.dtd"&gt;&lt;html&gt;&lt;head&gt;&lt;meta http-equiv="Content-Type" content="text/html; charset=utf-8"/&gt;&lt;meta name="viewport" content="width=device-width, initial-scale=1.0"/&gt;&lt;title&gt;SOLICITUD DE CLAVE ICONSTRUYE&lt;/title&gt;&lt;style type="text/css"&gt;body{margin: 10px 0; padding: 0 10px; background: #f2f5f9; font-size: 14px; -webkit-font-smoothing: antialiased;font-family: Helvetica, sans-serif;}table{border-collapse: collapse;}td{font-family: Helvetica, sans-serif; color: #666666;}@media only screen and (max-width: 480px){body,table,td,p,a,li,blockquote{-webkit-text-size-adjust:none !important;}table{width: 100% !important;}.responsive-image img{height: auto !important; max-width: 100% !important; width: 100% !important;}.contenido{font-size: 1.1em !important; line-height: 1.4em !important;}p{text-align: center !important;}.boton{width: 80% !important;}.cierre{padding: 30px 0 !important;}.cierre p{line-height: 0.7em !important;}}&lt;/style&gt;&lt;/head&gt;&lt;body style="background:#f2f5f9; color: #666666; padding:20px 0;"&gt;&lt;table border="0" cellpadding="0" cellspacing="0" width="100%"&gt;&lt;tbody&gt;&lt;tr&gt;&lt;td&gt;&lt;table align="center" bgcolor="#FFFFFF" border="0" cellpadding="0" cellspacing="0" width="640"&gt;&lt;tbody&gt;&lt;tr&gt;&lt;td align="center" bgcolor="#FFFFFF" class="responsive-image" style="font-size: 0; line-height: 0; padding:10px 0; border-bottom: 1px solid #dcdfe3; border-left:1px solid #dcdfe3; border-right:1px solid #dcdfe3; border-top: 2px solid #E66819;"&gt;&lt;span class="sg-image"&gt;&lt;img height="49" src="http://diseno.iconstruye.cl/mailing/newsletter/images/201606/201606-logo-iconstruye.jpg" style="width: 638px; height: 49px;" width="638"/&gt;&lt;/span&gt;&lt;/td&gt;&lt;/tr&gt;&lt;tr&gt;&lt;td bgcolor="#FFF" style="font-weight: 400; text-align: left; line-height: 1.7em; vertical-align: top; padding:20px 20px 0; border-left:1px solid #dcdfe3; border-right:1px solid #dcdfe3;"&gt;&lt;p style="font-size: 1em; margin:0 0 15px; line-height: 1.6em;"&gt;Estimado(a) &lt;strong&gt;&lt;nombusuario&gt;&lt;/strong&gt;&lt;/p&gt;&lt;p style="font-size: 1.4em; margin:0 0 15px; line-height: 1.7em;" class="contenido"&gt;Se ha solicitado la recuperación de la contraseña para la empresa &lt;strong&gt;&lt;NombreFantasia&gt;.&lt;/strong&gt;&lt;/p&gt;&lt;/td&gt;&lt;/tr&gt;&lt;tr&gt; &lt;td style="text-align: center; color:#0d5369; font-family:Helvetica; font-size:14px; line-height: 1.4em; overflow:hidden; letter-spacing:normal; padding-top: 0; border-left:1px solid #dcdfe3; border-right:1px solid #dcdfe3;"&gt; &lt;table width="96%" style="border-spacing: 0; border-collapse: collapse; margin: 0 auto 20px;"&gt; &lt;tr&gt; &lt;td style="padding: 0;"&gt; &lt;table style="width: 100%; border-spacing: 0; background: #FFF; border: none;"&gt; &lt;tr&gt; &lt;td colspan="3" style="border-bottom: 1px solid #cccccc;"&gt;&lt;h3 style="font-size: 1.4em; color: #ff5722; font-weight: 500; text-transform: uppercase;"&gt;Datos del usuario&lt;/h3&gt;&lt;/td&gt;&lt;/tr&gt;&lt;tr style="background: #FFFFFF; border-bottom: 1px solid #cccccc;"&gt; &lt;td style="padding: 0 10px;" width="50%"&gt; &lt;p style="font-size: 1.3em; font-weight: 400; text-align: center; color: #666; -webkit-margin-before: 0.6em; -webkit-margin-after: 0.6em; -webkit-margin-start: 0px; -webkit-margin-end: 0px; border-right: 1px solid #cccccc;"&gt;&lt;strong&gt;usuario&lt;/strong&gt; &lt;br&gt;&lt;idusuario&gt;&lt;/p&gt;&lt;/td&gt;&lt;td style="padding: 0 10px; background: #FFFFFF;" width="50%"&gt; &lt;p style="font-size: 1.3em; font-weight: 400; text-align: center; color: #666; -webkit-margin-before: 0.6em; -webkit-margin-after: 0.6em; -webkit-margin-start: 0px; -webkit-margin-end: 0px;"&gt;&lt;strong&gt;empresa&lt;/strong&gt; &lt;br&gt;&lt;nombempresa&gt;&lt;/p&gt;&lt;/td&gt;&lt;/tr&gt;&lt;/table&gt; &lt;/td&gt;&lt;/tr&gt;&lt;/table&gt; &lt;/td&gt;&lt;/tr&gt;&lt;tr&gt;&lt;td bgcolor="#FFF" style="font-weight: 400; text-align: center; line-height: 1.7em; vertical-align: top; padding: 20px 20px 5px; border-left:1px solid #dcdfe3; border-right:1px solid #dcdfe3;"&gt;&lt;p style="font-size: 1.4em; margin:0 0 10px; line-height: 1.7em;" class="contenido"&gt;Para cambiar tu contraseña dirígete al siguiente link&lt;/p&gt;&lt;/td&gt;&lt;/tr&gt;&lt;tr&gt;&lt;td style="color:#555; font-family:Helvetica; font-size:14px; text-align:center; padding-top:10px; overflow:hidden; letter-spacing:normal; border-left:1px solid #dcdfe3; border-right:1px solid #dcdfe3;" valign="top"&gt;&lt;a href="&lt;urlrecuperar&gt;" style="background:#5CB85C; color:#fff; padding:10px 15px 10px 15px; text-decoration:none; border-radius:4px; margin: 0 0 10px 0;display:inline-block; font-size: 17px; font-weight: 400; line-height: 26px;" class="boton"&gt;Recuperar clave&lt;/a&gt;&lt;/td&gt;&lt;/tr&gt;&lt;tr&gt;&lt;td bgcolor="#FFF" style="font-weight: 400; text-align: center; line-height: 1.7em; vertical-align: top; padding:20px 20px 5px; border-left:1px solid #dcdfe3; border-right:1px solid #dcdfe3;" class="cierre"&gt;&lt;p style="font-size: 14px; margin:0; line-height: 1.7em;"&gt;Mesa de Ayuda: &lt;strong&gt;22 486 1111&lt;/strong&gt;&lt;/p&gt;&lt;/td&gt;&lt;/tr&gt;&lt;tr&gt;&lt;td&gt;&lt;table align="center" border="0" cellpadding="0" cellspacing="0" class="deviceWidth" style="margin:0 auto; border-left:1px solid #dcdfe3; border-right:1px solid #dcdfe3;"&gt;&lt;tbody&gt;&lt;tr&gt;&lt;td style="border-top:1px solid #dcdfe3; font-size:11px; padding:20px; background: #e9ecf0; border-bottom:1px solid #dcdfe3;"&gt;&lt;p&gt;&lt;span style="font-size: 12px;"&gt;Correo enviado a trav&amp;eacute;s de iConstruye | Todos los Derechos Reservados &lt;/span&gt;&lt;/p&gt;&lt;/td&gt;&lt;/tr&gt;&lt;tr&gt;&lt;/tr&gt;&lt;/tbody&gt;&lt;/table&gt;&lt;/td&gt;&lt;/tr&gt;&lt;/tbody&gt;&lt;/table&gt;&lt;/td&gt;&lt;/tr&gt;&lt;/tbody&gt;&lt;/table&gt;&lt;/body&gt;&lt;/html&gt;</t>
  </si>
  <si>
    <t>Usuario Recuperar Contraseña</t>
  </si>
  <si>
    <t>Bienvenido a &lt;nombsitio&gt;</t>
  </si>
  <si>
    <t>&lt;!DOCTYPE html PUBLIC "-//W3C//DTD XHTML 1.0 Transitional//EN" "http://www.w3.org/TR/xhtml1/DTD/xhtml1-transitional.dtd"&gt;&lt;html&gt;&lt;head&gt;&lt;meta http-equiv="Content-Type" content="text/html; charset=utf-8"/&gt;&lt;meta name="viewport" content="width=device-width, initial-scale=1.0"/&gt;&lt;title&gt;CAMBIO DE CLAVE ICONSTRUYE&lt;/title&gt;&lt;style type="text/css"&gt;body{margin: 10px 0; padding: 0 10px; background: #f2f5f9; font-size: 14px; -webkit-font-smoothing: antialiased;font-family: Helvetica, sans-serif;}table{border-collapse: collapse;}td{font-family: Helvetica, sans-serif; color: #666666;}@media only screen and (max-width: 480px){body,table,td,p,a,li,blockquote{-webkit-text-size-adjust:none !important;}table{width: 100% !important;}.responsive-image img{height: auto !important; max-width: 100% !important; width: 100% !important;}.contenido{font-size: 1.1em !important; line-height: 1.4em !important;}p{text-align: center !important;}.boton{width: 80% !important;}.cierre{padding: 30px 0 !important;}.cierre p{line-height: 0.7em !important;}}&lt;/style&gt;&lt;/head&gt;&lt;body style="background:#f2f5f9; color: #666666; padding:20px 0;"&gt;&lt;table border="0" cellpadding="0" cellspacing="0" width="100%"&gt;&lt;tbody&gt;&lt;tr&gt;&lt;td&gt;&lt;table align="center" bgcolor="#FFFFFF" border="0" cellpadding="0" cellspacing="0" width="640"&gt;&lt;tbody&gt;&lt;tr&gt;&lt;td align="center" bgcolor="#FFFFFF" class="responsive-image" style="font-size: 0; line-height: 0; padding:10px 0; border-bottom: 1px solid #dcdfe3; border-left:1px solid #dcdfe3; border-right:1px solid #dcdfe3; border-top: 2px solid #E66819;"&gt;&lt;span class="sg-image"&gt;&lt;img height="49" src="http://diseno.iconstruye.cl/mailing/newsletter/images/201606/201606-logo-iconstruye.jpg" style="width: 638px; height: 49px;" width="638"/&gt;&lt;/span&gt;&lt;/td&gt;&lt;/tr&gt;&lt;tr&gt;&lt;td bgcolor="#FFF" style="font-weight: 400; text-align: left; line-height: 1.7em; vertical-align: top; padding:20px 20px 0; border-left:1px solid #dcdfe3; border-right:1px solid #dcdfe3;"&gt;&lt;p style="font-size: 1em; margin:0 0 15px; line-height: 1.6em;"&gt;Estimado(a) &lt;strong&gt;&lt;nombusuario&gt;&lt;/strong&gt;&lt;/p&gt;&lt;p style="font-size: 1.4em; margin:0 0 15px; line-height: 1.7em;" class="contenido"&gt;Ha modificado satisfactoriamente la clave para la empresa &lt;strong&gt;&lt;NombreFantasia&gt;&lt;/strong&gt;. Puedes volver a tu cuenta en el siguiente link.&lt;/p&gt;&lt;/td&gt;&lt;/tr&gt;&lt;tr&gt;&lt;td style="color:#555; font-family:Helvetica; font-size:14px; text-align:center; padding-top:10px; overflow:hidden; letter-spacing:normal; border-left:1px solid #dcdfe3; border-right:1px solid #dcdfe3;" valign="top"&gt;&lt;a href="&lt;urlrecuperar&gt;" style="background:#5CB85C; color:#fff; padding:10px 15px 10px 15px; text-decoration:none; border-radius:4px; margin: 0 0 10px 0;display:inline-block; font-size: 17px; font-weight: 400; line-height: 26px;" class="boton"&gt;Ingresa a tu cuenta&lt;/a&gt;&lt;/td&gt;&lt;/tr&gt;&lt;tr&gt;&lt;td bgcolor="#FFF" style="font-weight: 400; text-align: center; line-height: 1.7em; vertical-align: top; padding:20px 20px 5px; border-left:1px solid #dcdfe3; border-right:1px solid #dcdfe3;" class="cierre"&gt;&lt;p style="font-size: 14px; margin:0; line-height: 1.7em;"&gt;Mesa de Ayuda: &lt;strong&gt;22 486 1111&lt;/strong&gt;&lt;/p&gt;&lt;/td&gt;&lt;/tr&gt;&lt;tr&gt;&lt;td&gt;&lt;table align="center" border="0" cellpadding="0" cellspacing="0" class="deviceWidth" style="margin:0 auto; border-left:1px solid #dcdfe3; border-right:1px solid #dcdfe3;"&gt;&lt;tbody&gt;&lt;tr&gt;&lt;td style="border-top:1px solid #dcdfe3; font-size:11px; padding:20px; background: #e9ecf0; border-bottom:1px solid #dcdfe3;"&gt;&lt;p&gt;&lt;span style="font-size: 12px;"&gt;Correo enviado a trav&amp;eacute;s de iConstruye | Todos los Derechos Reservados &lt;/span&gt;&lt;/p&gt;&lt;/td&gt;&lt;/tr&gt;&lt;tr&gt;&lt;/tr&gt;&lt;/tbody&gt;&lt;/table&gt;&lt;/td&gt;&lt;/tr&gt;&lt;/tbody&gt;&lt;/table&gt;&lt;/td&gt;&lt;/tr&gt;&lt;/tbody&gt;&lt;/table&gt;&lt;/body&gt;&lt;/html&gt;</t>
  </si>
  <si>
    <t>Usuario Recuperar Contraseña Exitoso</t>
  </si>
  <si>
    <t>Servicio Configuración Masiva</t>
  </si>
  <si>
    <t>&lt;!DOCTYPE html PUBLIC "-//W3C//DTD XHTML 1.0 Transitional//EN" "http://www.w3.org/TR/xhtml1/DTD/xhtml1-transitional.dtd"&gt; &lt;html xmlns="http://www.w3.org/1999/xhtml"&gt; 	   &lt;head&gt;     &lt;meta http-equiv="Content-Type" content="text/html; charset=UTF-8" /&gt;     &lt;title&gt;Confirmación de cambios en Configuración&lt;/title&gt;   &lt;/head&gt;    &lt;body style="margin:0; padding:0;background:#fff;" leftmargin="0" marginwidth="0" topmargin="0" marginheight="0" offset="0"&gt;     &lt;center&gt;       &lt;table align="center" border="0" cellpadding="0" cellspacing="0" height="100%" width="700px"&gt;         &lt;tr&gt;           &lt;td align="center" valign="top" style="height:100% !important; margin:0; width:100% !important; padding:20px 15px;"&gt;                          &lt;table border="0" cellpadding="0" cellspacing="0" style="width:100%; max-width: 780px; border-left:1px solid #e5e5e5; border-right:1px solid #e5e5e5; border-bottom:1px solid #e5e5e5;"&gt;               &lt;tr&gt;                 &lt;td align="center" valign="top"&gt;                                     &lt;table border="0" cellpadding="0" cellspacing="0" width="100%" style="background-color:#FFFFFF; border-top: 2px solid #E66819;border-bottom:1px solid #e5e5e5; padding: 10px 20px;"&gt;                     &lt;tr&gt;                       &lt;td valign="top"  style="padding:10px; background: rgb(255, 255, 255) none repeat scroll 0% 0%; "&gt;                         &lt;img src="http://200.27.7.254/img/logos/iconstruye.png" style="max-width:200px; "/&gt;                       &lt;/td&gt;                     &lt;/tr&gt;                   &lt;/table&gt;                 &lt;/td&gt;               &lt;/tr&gt;               &lt;tr&gt;                 &lt;td align="center" valign="top"&gt;                   &lt;table border="0" cellpadding="0" cellspacing="0" width="100%" style="background-color:#FFFFFF; border-top:1px solid #FFFFFF;"&gt;                     &lt;tr&gt;                       &lt;td valign="top" style="color:#555; font-family:Helvetica; font-size:14px; line-height: 1.4em; padding:20px 40px 30px 40px; overflow:hidden; letter-spacing:normal;"&gt;                          &lt;h3 style="margin:0 0 10px 0;"&gt;Estimado &lt;usuario&gt;:&lt;/h3&gt;                        	&lt;p style="margin:0 0 10px 0;"&gt;&lt;accion&gt;:&lt;/p&gt;                                             &lt;/td&gt;                     &lt;/tr&gt;                    &lt;tr valign="top" style="color:#808080;line-height:40px; font-family:Helvetica; font-size:13px; line-height:150%; padding-top:20px; padding-right:20px; padding-bottom:20px; padding-left:20px; width:50%; text-align:center;"&gt;&lt;td&gt;El detalle del proceso de configuración lo puedes consultar en el modulo configuraciones sección Informacion General/Historial Configuración&lt;/td&gt;&lt;/tr&gt;                                                                      &lt;tr&gt;                       &lt;td valign="top" style="color:#808080; font-family:Helvetica; font-size:12px; line-height:150%; padding-top:20px; padding-right:20px; padding-bottom:20px; padding-left:20px; width:50%; text-align:center;"&gt;                                                              Si necesita comunicarse con nosotros escríbanos a &lt;a href="mailto:contactenos@iconstruye.com" style="color:#E66819; font-weight:normal; text-decoration:none;"&gt;contactenos@iconstruye.com&lt;/a&gt; o llámenos al 2 4861192&lt;br&gt;                               Al operar en la Plataforma iConstruye, los usuarios y la empresa a la que pertenecen aceptan cumplir con los &lt;a href="#" style="color:#E66819; font-weight:normal; text-decoration:none;"&gt;Términos y Condiciones&lt;/a&gt; de uso.                                                         &lt;/td&gt;                     &lt;/tr&gt;                   &lt;/tr&gt;                    &lt;tr&gt;                     &lt;td style="border-top:1px solid #ddd; font-size:9px; padding:20px; font-family:Helvetica; color:#666;"&gt;                     	© iConstruye · Todos los Derechos Reservados.                      &lt;/td&gt;                   &lt;tr&gt;                   &lt;/table&gt;                 &lt;/td&gt;               &lt;/tr&gt;             &lt;/table&gt;           &lt;/td&gt;         &lt;/tr&gt;       &lt;/table&gt;     &lt;/center&gt;   &lt;/body&gt; &lt;/html&gt;</t>
  </si>
  <si>
    <t>Nueva Orden de compra N° {NumeroOC} de {EmpresaCompradora}.</t>
  </si>
  <si>
    <t>&lt;!DOCTYPE html&gt; &lt;html lang="es"&gt; &lt;head&gt; 	&lt;meta charset="UTF-8"&gt; 	&lt;style type="text/css"&gt; 		body { 			font-family: Arial, Helvetica, sans-serif; 			font-size: small; 			padding: 12px; 		}  		p { 			text-align: justify; 		} 		 	&lt;/style&gt; &lt;/head&gt; &lt;body&gt; 	&lt;p&gt;Estimado Proveedor 	&lt;p&gt;La empresa &lt;strong&gt;{EmpresaCompradora}&lt;/strong&gt;, le ha generado una Órden de Compra N° 	{NumeroOC} a través de &lt;a clicktracking=off href="http://www.iconstruye.com"&gt;www.iconstruye.com&lt;/a&gt;&lt;/p&gt; 	&lt;p&gt;Para descargar el PDF debe hacer clic en el Número del documento en el siguiente enlace {Link}.&lt;/p&gt; 	&lt;p&gt;Para Aceptar o Rechazar esta orden de compra, debe &lt;strong&gt;responder a este correo con copia a todos los contactos&lt;/strong&gt;, señalando claramente su decisión. 	&lt;br&gt; 	&lt;p&gt;Si deseas mayor información puedes contactarnos en el siguiente link &lt;a clicktracking=off href="https://www.iconstruye.com/"&gt;Contáctenos&lt;/a&gt; &lt;/p&gt; 	&lt;br&gt; 	&lt;p&gt;Atentamente,&lt;/p&gt; 	&lt;img src="http://cl.iconstruye.com/images/logo.jpg" /&gt; &lt;/body&gt; &lt;/html&gt;</t>
  </si>
  <si>
    <t>Solicitud de Código Rechazada</t>
  </si>
  <si>
    <t>&lt;div style="width:600px"&gt;&lt;p style="font-family:Arial;font-size:12px;text-align:left"&gt;&lt;b&gt;Estimado Sr(a). &lt;Usuario&gt;&lt;/b&gt;&lt;br/&gt;&lt;br/&gt;La solicitud de código enviada el día &lt;fechaenvio&gt; del Centro de Gestión &lt;nomorgc&gt;, ha sido rechazada por el usuario &lt;nomusuarioatiende&gt;.&lt;br/&lt;br/&gt;&lt;br/&gt;&lt;b&gt;MATERIAL SOLICITADO&lt;/b&gt;&lt;br/&lt;br/&gt;&lt;br/&gt;&lt;b&gt;Descripcion: &lt;/b&gt;&lt;descripcion1&gt;&lt;br/&gt;&lt;b&gt;Unidad: &lt;/b&gt;&lt;unidad1&gt;&lt;br/&gt;&lt;b&gt;Motivo de rechazo: &lt;/b&gt;&lt;motivo&gt;&lt;br/&gt;&lt;br/&gt;Atentamente,&lt;br/&gt;IConstruye S.A.&lt;br&gt;&lt;/p&gt;&lt;/div&gt;</t>
  </si>
  <si>
    <t>Se envia cuando se rechaza (eliminación física) los materiales solicitados que estan pendientes</t>
  </si>
  <si>
    <t>Aviso de Creación de Material en Estado Inactivo</t>
  </si>
  <si>
    <t>&lt;div style="width:600px;"&gt;&lt;p style="font-family:Arial; font-size:12px; text-align:left;"&gt;&lt;b&gt;Estimado Sr(a). 	&lt;usuariosolicitante&gt;&lt;/b&gt;&lt;br/&gt;&lt;br/&gt;La solicitud de creación de código enviada el día &lt;fechaenvio&gt;, del centro de gestión &lt;nomorgc&gt; a sido aprobada por el usuario &lt;nomusuarioatiende&gt;.&lt;b&gt;&lt;br/&gt;&lt;br/&gt;&lt;br/&gt;MATERIAL SOLICITADO	&lt;/b&gt;&lt;table style="font-family:Arial; font-size:12px; text-align:left;" border="0"&gt;&lt;tr&gt;&lt;td&gt;Descripción:&lt;/td&gt;&lt;td&gt;&lt;descripcion1&gt;&lt;/td&gt;&lt;tr&gt;&lt;td&gt;Unidad: &lt;/td&gt;&lt;td&gt;&lt;unidad1&gt;&lt;/td&gt;&lt;/tr&gt;&lt;/table&gt;&lt;br/&gt;&lt;b&gt; MATERIAL CREADO &lt;/b&gt;&lt;table style="font-family:Arial; font-size:12px; text-align:left;" border="0"&gt;&lt;tr&gt;&lt;td&gt;Código: &lt;/td&gt;&lt;td&gt;&lt;codigo2&gt;&lt;/td&gt;&lt;tr&gt;&lt;td&gt;Descripción: &lt;/td&gt;&lt;td&gt;&lt;descripcion2&gt;&lt;/td&gt;&lt;tr&gt;&lt;td&gt;Unidad: &lt;/td&gt;&lt;td&gt;&lt;unidad2&gt;&lt;/td&gt;&lt;/tr&gt;&lt;tr&gt;&lt;td&gt;Estado: &lt;/td&gt;&lt;td&gt;&lt;estadomaterial&gt;&lt;/td&gt;&lt;/tr&gt;&lt;tr&gt;&lt;td&gt;Motivo: &lt;/td&gt;&lt;td&gt;&lt;motivo&gt;&lt;/td&gt;&lt;/tr&gt;&lt;/table&gt;&lt;br/&gt;&lt;br/&gt;&lt;br&gt;&lt;br&gt;Atte,&lt;br&gt;IConstruye S.A.	&lt;br&gt;&lt;/p&gt;&lt;/div&gt;</t>
  </si>
  <si>
    <t>Se envia cuando se crean desactivados los materiales solicitados que estan pendientes en la administaracion de maestro</t>
  </si>
  <si>
    <t>Archivo de Pago [&lt;Estado&gt;]</t>
  </si>
  <si>
    <t>&lt;!DOCTYPE html&gt; &lt;html lang="es"&gt; &lt;head&gt; 	&lt;meta charset="UTF-8"&gt; 	&lt;style type="text/css"&gt; 		body { 			font-family: Arial, Helvetica, sans-serif; 			font-size: small; 			padding: 12px; 		}  		p { 			text-align: justify; 		} 		 	&lt;/style&gt; &lt;/head&gt; &lt;body&gt; 	&lt;h3&gt;Estimado &lt;strong&gt;&lt;NombreUsuario&gt;&lt;/strong&gt;&lt;/h3&gt;         &lt;br&gt;         &lt;p&gt;El archivo de pago &lt;strong&gt;&lt;NombreArchivo&gt;&lt;/strong&gt; se encuentra &lt;strong&gt;&lt;Estado&gt;&lt;/strong&gt;.&lt;/p&gt;         &lt;p&gt;Consulta el estado de todas sus Solicitudes en la sección "&lt;strong&gt;Consulta Archivos de Pago&lt;/strong&gt;".&lt;/p&gt;         &lt;br&gt;         &lt;p&gt;Ingrese al portal proveedores de &lt;strong&gt;iConstruye.com&lt;strong&gt;&lt;/p&gt; 	&lt;br&gt; 	&lt;p&gt;Atentamente,&lt;/p&gt; 	&lt;img src="http://cl.iconstruye.com/images/logo.jpg" /&gt; &lt;/body&gt; &lt;/html&gt;</t>
  </si>
  <si>
    <t>Aviso de Aprobación o Rechazo de un Archivo de Pago en Revisión.</t>
  </si>
  <si>
    <t>{NombreEmpresaCompradora} te invita a participar de la cotización N° {NumeroCotizacion}</t>
  </si>
  <si>
    <t>&lt;!DOCTYPE html&gt; &lt;html xmlns="http://www.w3.org/1999/xhtml"&gt; &lt;head&gt;  &lt;meta http-equiv="Content-Type" content="text/html; charset=UTF-8"&gt;  &lt;title&gt;INVITACIÓN A COTIZAR EN ICONSTRUYE&lt;/title&gt; &lt;meta name="viewport" content="width=device-width, initial-scale=1.0"&gt; &lt;/head&gt;  &lt;body leftmargin="0" topmargin="0" marginwidth="0" marginheight="0" yahoo="fix" style="font-family: Helvetica, sans-serif; color: #666666; width: 100%; -webkit-font-smoothing: antialiased; background-color: #f2f5f9; margin: 0; padding: 0;" bgcolor="#f2f5f9"&gt;   &lt;table width="720" border="0" cellpadding="0" cellspacing="0" align="center" style="border-collapse: collapse;"&gt; 	&lt;tr&gt; 		&lt;td width="100%" valign="top" bgcolor="#f2f5f9" style="padding: 20px 0;"&gt;  			 			&lt;table width="720" border="0" cellpadding="0" cellspacing="0" align="center" style="border-bottom-style: solid; border-bottom-color: #dcdfe3; border-bottom-width: 1px; border-left-width: 1px; border-left-color: #dcdfe3; border-left-style: solid; border-right-width: 1px; border-right-color: #dcdfe3; border-right-style: solid; border-collapse: collapse; width: 780px !important; margin: 0 auto; padding: 0;"&gt; 				&lt;tr&gt; 					&lt;td width="100%" bgcolor="#ffffff" style="border-top-width: 2px; border-top-color: #E66819; border-top-style: solid; padding: 10px 0;"&gt;             &lt;img src="http://diseno.iconstruye.cl/mailing/newsletter/images/201606/201606-logo-iconstruye.jpg" style="width: 100%;"&gt; 					&lt;/td&gt; 				&lt;/tr&gt; 			&lt;/table&gt;  			 			&lt;table width="720" border="0" cellpadding="0" cellspacing="0" align="center" bgcolor="#FFF" style="border-left-style: solid; border-left-color: #dcdfe3; border-left-width: 1px; border-right-color: #dcdfe3; border-right-width: 1px; border-right-style: solid; border-collapse: collapse; width: 780px !important; margin: 0 auto; padding: 0;"&gt;         &lt;tr&gt;           &lt;td style="color: #666; font-weight: normal; text-align: left; font-family: Helvetica, sans-serif; line-height: 24px; vertical-align: top; padding: 10px 20px 5px;" bgcolor="#FFF" align="left" valign="top"&gt;              &lt;p style="font-weight: 200; font-size: 14px; line-height: 1.7em; margin: 0 0 15px;"&gt;Estimado (a): {NombreProveedor}&lt;/p&gt;              &lt;p style="font-weight: 200; font-size: 14px; line-height: 1.7em; margin: 0 0 15px;"&gt;La empresa &lt;strong&gt;{EmpresaCompradora}&lt;/strong&gt; lo ha invitado a participar de la siguiente cotización:&lt;/p&gt;              &lt;ul&gt;               &lt;li style="font-size: 0.9em; font-weight: 400; color: #3A5F84;"&gt; &lt;strong&gt;N° de Cotización:&lt;/strong&gt; {NumeroCotizacion}&lt;/li&gt;               &lt;li style="font-size: 0.9em; font-weight: 400; color: #3A5F84;"&gt; &lt;strong&gt;Nombre de la cotización:&lt;/strong&gt; {NombreCotizacion}&lt;/li&gt;               &lt;li style="font-size: 1em; font-weight: 600; color: #3A5F84;"&gt; &lt;strong&gt;Fecha de Cierre:&lt;/strong&gt; {FechaDeCierre}&lt;/li&gt;             &lt;/ul&gt;           &lt;/td&gt;         &lt;/tr&gt;         &lt;tr&gt;           &lt;td style="color: #666; font-weight: normal; text-align: left; font-family: Helvetica, sans-serif; line-height: 24px; vertical-align: top; padding: 10px 20px 5px;" bgcolor="#FFF" align="left" valign="top"&gt;             &lt;p style="font-weight: 200; font-size: 14px; line-height: 1.7em; margin: 0 0 15px;"&gt;El detalle de los materiales a cotizar se encuentra en la siguiente tabla:&lt;/p&gt;           &lt;/td&gt;         &lt;/tr&gt;                           &lt;tr&gt;                      &lt;td style="text-align: center; color: #0d5369; font-family: Helvetica; font-size: 14px; line-height: 1.4em; overflow: hidden; letter-spacing: normal; padding-top: 0;" align="center"&gt;               &lt;table width="96%" style="border-spacing: 0; border-collapse: collapse; margin: 0 auto;"&gt;                 &lt;tr&gt;                   &lt;td style="padding: 0;"&gt;                     {TablaMateriales}                   &lt;/td&gt;                 &lt;/tr&gt;               &lt;/table&gt;           &lt;/td&gt;         &lt;/tr&gt;         &lt;tr&gt;           &lt;td valign="top" style="color: #555; font-family: Helvetica; font-size: 14px; text-align: center; padding-top: 30px; overflow: hidden; letter-spacing: normal;" align="center"&gt;             &lt;a clicktracking="off" href="http://www.iconstruye.com/" style="background-color: #5CB85C; color: #fff; text-decoration: none; border-radius: 4px; font-size: 17px; font-weight: 400; line-height: 26px; display: inline-block; margin: 0 0 20px; padding: 16px 25px 15px;"&gt;Ingresa a ofertar&lt;/a&gt; &lt;/td&gt;         &lt;/tr&gt;         &lt;tr&gt;           &lt;td style="color: #666; font-weight: normal; text-align: left; font-family: Helvetica, sans-serif; line-height: 24px; vertical-align: top; padding: 20px 20px 5px;" bgcolor="#FFF" align="left" valign="top"&gt;             &lt;p style="font-weight: 200; font-size: 14px; line-height: 1.7em; margin: 0 0 15px;"&gt;No deje pasar esta Oportunidad de hacer Negocios. Para mayor información, ingrese al módulo de Cotizaciones de nuestro sistema.&lt;/p&gt;             &lt;p style="font-weight: 200; font-size: 14px; line-height: 1.7em; margin: 0 0 15px;"&gt;Atentamente&lt;br&gt;               &lt;strong&gt;Equipo iConstruye&lt;/strong&gt;&lt;br&gt;               &lt;a clicktracking="off" href="http://www.iconstruye.com"&gt;www.iconstruye.com&lt;/a&gt; &lt;br&gt;               Mesa de Ayuda: +56 2 24861111&lt;/p&gt;           &lt;/td&gt;         &lt;/tr&gt;     			&lt;/table&gt;               &lt;table width="720" border="0" cellpadding="0" cellspacing="0" align="center" bgcolor="#fff" style="border-left-style: solid; border-left-color: #dcdfe3; border-left-width: 1px; border-right-color: #dcdfe3; border-right-width: 1px; border-right-style: solid; border-collapse: collapse; width: 780px !important; margin: 0 auto; padding: 0;"&gt;         &lt;tr&gt;           &lt;td style="padding: 20px; border-top-width: 1px; border-top-color: #dcdfe3; border-top-style: solid; font-size: 11px; font-family: Helvetica; color: #666; background-color: #e9ecf0; border-bottom-width: 1px; border-bottom-style: solid; border-bottom-color: #dcdfe3;" bgcolor="#e9ecf0"&gt;             &lt;p&gt;Correo enviado a través de iConstruye · Todos los Derechos Reservados&lt;/p&gt;            &lt;/td&gt;         &lt;/tr&gt; &lt;tr&gt;       &lt;/tr&gt; &lt;/table&gt;   		&lt;/td&gt; 	&lt;/tr&gt; &lt;/table&gt;  &lt;/body&gt; &lt;/html&gt;</t>
  </si>
  <si>
    <t>Invitación a los Proveedores para Participar en una Cotización Publicada.</t>
  </si>
  <si>
    <t>Recuperar contraseña - Portal de Pagos de Sigro</t>
  </si>
  <si>
    <t>&lt;!DOCTYPE html&gt;&lt;html lang="en"&gt;&lt;head&gt;&lt;base href="http://diseno.iconstruye.cl/ic/desarrollando/portal-provedores/V5/email-avisos-portal-pago/aviso-nota-correccion.html"&gt;&lt;meta http-equiv="Content-Type" content="text/html; charset=UTF-8"&gt;&lt;meta name="viewport" content="width=device-width, initial-scale=1"&gt;&lt;meta http-equiv="X-UA-Compatible" content="IE=edge"&gt;&lt;title&gt;Recuperación de Contraseña&lt;/title&gt;&lt;style type="text/css"&gt;/* Outlines the grids, remove when sending *//*table td { border: 1px solid cyan; }*//* CLIENT-SPECIFIC STYLES */body, table, td, a { -webkit-text-size-adjust: 100%; -ms-text-size-adjust: 100%; font-family: Helvetica, sans-serif; font-weight: 300; color: #333333; font-size: 14px;}table, td { mso-table-lspace: 0pt; mso-table-rspace: 0pt; }img { -ms-interpolation-mode: bicubic; }h1 {font-size: 1.2em;}.orange {display: none;}.container-orange {background-color: #ff7d28;width: 100%;}.container-green {background-color: #48a548;width: 100%;}.boxes {width: 48%;/*background-color: #efefef;*/padding: 20px;}.footer img {display: block;width: 35%;height: auto;}/* RESET STYLES */img { border: 0; outline: none; text-decoration: none; }table { border-collapse: collapse !important; }body { margin: 0 !important; padding: 0 !important; width: 100% !important; }/* iOS BLUE LINKS */a[x-apple-data-detectors] {color: inherit !important;text-decoration: none !important;font-size: inherit !important;font-family: inherit !important;font-weight: inherit !important;line-height: inherit !important;}/* ANDROID CENTER FIX */div[style*="margin: 16px 0;"] { margin: 0 !important; }/* MEDIA QUERIES */@media all and (max-width:639px) { .wrapper{ width:320px!important; padding: 0 !important; }.container{ width:300px!important;padding: 0 !important; }.mobile{ width:300px!important; display:block!important; padding: 0 !important; }.img{ width:100% !important; height:auto !important; }*[class="mobileOff"] { width: 0px !important; display: none !important; }*[class*="mobileOn"] { display: block !important; max-height:none !important; }}@media screen and (max-width:380px) {h1 {font-size: 1.4em;text-align: center;color: #666666;}h3 {font-size: 1.6em!important;}.wrapper { width:100%!important; padding: 0 !important;}.mobile {width: 100% !important; padding: 0 !important; }.mobile p {text-align: center!important;font-size: 1.3em !important; }.boton {font-size: 1.8em !important;padding: 30px !important;}.footer p {font-size: 0.9em !important;}.footer p a { font-size: 0.9em !important; }.footer img {display: block;width: 50%;height: auto;}.logo {width: 70% !important;}.orange {position: absolute;top: 0;background-color: #ff7d28;display: block!important;}.up {display: none!important;}.down {margin-top: 90px!important;}.container-img {width:100%!important;padding: 0 !important;}.container-orange {width:100%!important;padding: 0 !important;}.container-orange h3 {font-size: 1.6em !important;}.boxes {padding: 10px!important;border-bottom: 1px solid #dddddd;}}&lt;/style&gt;&lt;script type="text/javascript" data-savepage-src="chrome-extension://aadgmnobpdmgmigaicncghmmoeflnamj/ng-inspector.js" src=""&gt;&lt;/script&gt;&lt;link rel="icon" href=""&gt;&lt;/head&gt;&lt;body style="margin:0; padding:0; background-color:#F2F2F2;"&gt;&lt;span style="display: block; width: 640px !important; max-width: 640px; height: 1px" class="mobileOff"&gt;&lt;/span&gt;&lt;center&gt;&lt;table width="100%" border="0" cellpadding="0" cellspacing="0" bgcolor="#F2F2F2"&gt;&lt;tbody&gt;&lt;tr&gt;&lt;td align="center" valign="top"&gt;&lt;table width="640" cellpadding="0" cellspacing="0" border="0" class="wrapper" bgcolor="#FFFFFF"&gt;&lt;tbody&gt;&lt;tr&gt;&lt;td align="center" valign="top" bgcolor="#373B46" style="background-color:#373B46;"&gt;&lt;table width="600" cellpadding="0" cellspacing="0" border="0" class="container"&gt;&lt;tbody&gt;&lt;tr&gt;&lt;td width="100%" class="mobile" align="center" valign="middle" style="padding:10px;"&gt;&lt;img class="logo" src="https://cl.iconstruye.com/landing-home-prov/assents/images/logo-1.png" style="width: 120px;"&gt;&lt;/td&gt;&lt;/tr&gt;&lt;/tbody&gt;&lt;/table&gt;&lt;/td&gt;&lt;/tr&gt;&lt;/tbody&gt;&lt;/table&gt;			&lt;table width="640" cellpadding="0" cellspacing="0" border="0" class="wrapper" bgcolor="#FFFFFF"&gt;&lt;tbody&gt;&lt;tr&gt;&lt;td align="center" valign="top"&gt;&lt;table width="600" cellpadding="0" cellspacing="0" border="0" class="container-orange"&gt;&lt;tbody&gt;&lt;tr&gt;&lt;td align="center" valign="middle" style="min-height:110px"&gt;&lt;h3 style="font-size: 1.8em; font-weight: 200; color: #ffffff;"&gt;Recuperación de &lt;strong&gt;Contraseña&lt;/strong&gt;&lt;/h3&gt;&lt;/td&gt;&lt;/tr&gt;&lt;/tbody&gt;&lt;/table&gt;&lt;/td&gt;&lt;/tr&gt;&lt;tr&gt;&lt;td height="10" style="font-size:10px; line-height:10px;"&gt; &lt;/td&gt;&lt;/tr&gt;&lt;/tbody&gt;&lt;/table&gt;&lt;table width="640" cellpadding="0" cellspacing="0" border="0" class="wrapper" bgcolor="#FFFFFF"&gt;&lt;tbody&gt;&lt;tr&gt;&lt;td align="center" valign="top" style="padding: 10px 0;"&gt;&lt;table width="600" cellpadding="0" cellspacing="0" border="0" class="container"&gt;&lt;tbody&gt;&lt;tr&gt;&lt;td class="mobile" align="left" valign="top"&gt;&lt;p style="font-size: 1.1em; margin-bottom: 25px;"&gt;Estimado (a): &lt;strong&gt;&lt;nombusuario&gt;&lt;/strong&gt;&lt;/p&gt;&lt;p style=" font-size: 1.1em; text-align: justify; margin-bottom: 15px;"&gt;Junto con saludarte, recordamos que los datos de acceso a nuestro sistema son:&lt;/p&gt;&lt;p style=" font-size: 1.1em; text-align: left; margin-bottom: 15px;"&gt;Usuario: &lt;strong&gt;&lt;idusuario&gt;&lt;/strong&gt;&lt;br /&gt;Organización: &lt;strong&gt;&lt;nombempresa&gt;&lt;/strong&gt;&lt;br /&gt;Clave: &lt;strong&gt;&lt;clave&gt;&lt;/strong&gt;&lt;/p&gt;&lt;p style=" font-size: 1.1em; text-align: left; margin-bottom: 45px;"&gt;En caso de requerir información adicional, comunícate con nosotros al 2 486 1111 o al correo &lt;a style="color: #ff7d28;"href="mailto:portalproveedores@iconstruye.com"&gt;portalproveedores@iconstruye.com&lt;/a&gt;&lt;br /&gt;&lt;br /&gt;Atentamente,&lt;br /&gt;Equipo iConstruye&lt;/p&gt;&lt;/td&gt;&lt;/tr&gt;&lt;tr&gt;&lt;td class="mobile" align="center" valign="top"&gt;&lt;a href="https://sigro.iconstruye.com" style="background:#ff7d28; color:#fff; padding:10px 20px; text-decoration: none; border-radius:4px; margin: 10px 0;display:inline-block;font-size: 1.2em;font-weight: 400;line-height: 26px;"&gt;Ingresar al Portal de Pagos&lt;/a&gt;&lt;/td&gt;&lt;/tr&gt;&lt;/tbody&gt;&lt;/table&gt;&lt;/td&gt;&lt;/tr&gt;&lt;tr&gt;&lt;td height="20" style="font-size:10px; line-height:10px;"&gt; &lt;/td&gt;&lt;/tr&gt;&lt;/tbody&gt;&lt;/table&gt;&lt;table width="640" cellpadding="0" cellspacing="0" border="0" class="wrapper" bgcolor="#F2F2F2"&gt;&lt;tbody&gt;&lt;tr&gt;&lt;td height="10" style="font-size:10px; line-height:10px;"&gt; &lt;/td&gt;&lt;/tr&gt;&lt;tr&gt;&lt;td align="center" valign="top"&gt;&lt;table width="600" cellpadding="0" cellspacing="0" border="0" class="container"&gt;&lt;tbody&gt;&lt;tr&gt;&lt;td class="mobile footer" align="center" valign="top"&gt;&lt;p style="line-height: 1.5em; font-size: 0.9em; text-align: center; color: #999999;"&gt;Correo enviado a través de iConstruye | Todos los Derechos Reservados |&lt;/p&gt;&lt;/td&gt;&lt;/tr&gt;&lt;/tbody&gt;&lt;/table&gt;&lt;/td&gt;&lt;/tr&gt;&lt;tr&gt;&lt;td height="10" style="font-size:10px; line-height:10px;"&gt; &lt;/td&gt;&lt;/tr&gt;&lt;/tbody&gt;&lt;/table&gt; &lt;/td&gt;&lt;/tr&gt;&lt;/tbody&gt;&lt;/table&gt;&lt;/center&gt;&lt;div id="extension-kmmojbkhfhninkelnlcnliacgncnnikf-installed"&gt;&lt;/div&gt;&lt;/body&gt;&lt;/html&gt;</t>
  </si>
  <si>
    <t>Usuario Recuperar Contraseña portal Sigro</t>
  </si>
  <si>
    <t>Recuperar contraseña - Portal de Pagos de Besalco</t>
  </si>
  <si>
    <t>&lt;!DOCTYPE html&gt;&lt;html lang="en"&gt;&lt;head&gt;&lt;base href="http://diseno.iconstruye.cl/ic/desarrollando/portal-provedores/V5/email-avisos-portal-pago/aviso-nota-correccion.html"&gt;&lt;meta http-equiv="Content-Type" content="text/html; charset=UTF-8"&gt;&lt;meta name="viewport" content="width=device-width, initial-scale=1"&gt;&lt;meta http-equiv="X-UA-Compatible" content="IE=edge"&gt;&lt;title&gt;Recuperación de Contraseña&lt;/title&gt;&lt;style type="text/css"&gt;/* Outlines the grids, remove when sending *//*table td { border: 1px solid cyan; }*//* CLIENT-SPECIFIC STYLES */body, table, td, a { -webkit-text-size-adjust: 100%; -ms-text-size-adjust: 100%; font-family: Helvetica, sans-serif; font-weight: 300; color: #333333; font-size: 14px;}table, td { mso-table-lspace: 0pt; mso-table-rspace: 0pt; }img { -ms-interpolation-mode: bicubic; }h1 {font-size: 1.2em;}.orange {display: none;}.container-orange {background-color: #ff7d28;width: 100%;}.container-green {background-color: #48a548;width: 100%;}.boxes {width: 48%;/*background-color: #efefef;*/padding: 20px;}.footer img {display: block;width: 35%;height: auto;}/* RESET STYLES */img { border: 0; outline: none; text-decoration: none; }table { border-collapse: collapse !important; }body { margin: 0 !important; padding: 0 !important; width: 100% !important; }/* iOS BLUE LINKS */a[x-apple-data-detectors] {color: inherit !important;text-decoration: none !important;font-size: inherit !important;font-family: inherit !important;font-weight: inherit !important;line-height: inherit !important;}/* ANDROID CENTER FIX */div[style*="margin: 16px 0;"] { margin: 0 !important; }/* MEDIA QUERIES */@media all and (max-width:639px) { .wrapper{ width:320px!important; padding: 0 !important; }.container{ width:300px!important;padding: 0 !important; }.mobile{ width:300px!important; display:block!important; padding: 0 !important; }.img{ width:100% !important; height:auto !important; }*[class="mobileOff"] { width: 0px !important; display: none !important; }*[class*="mobileOn"] { display: block !important; max-height:none !important; }}@media screen and (max-width:380px) {h1 {font-size: 1.4em;text-align: center;color: #666666;}h3 {font-size: 1.6em!important;}.wrapper { width:100%!important; padding: 0 !important;}.mobile {width: 100% !important; padding: 0 !important; }.mobile p {text-align: center!important;font-size: 1.3em !important; }.boton {font-size: 1.8em !important;padding: 30px !important;}.footer p {font-size: 0.9em !important;}.footer p a { font-size: 0.9em !important; }.footer img {display: block;width: 50%;height: auto;}.logo {width: 70% !important;}.orange {position: absolute;top: 0;background-color: #ff7d28;display: block!important;}.up {display: none!important;}.down {margin-top: 90px!important;}.container-img {width:100%!important;padding: 0 !important;}.container-orange {width:100%!important;padding: 0 !important;}.container-orange h3 {font-size: 1.6em !important;}.boxes {padding: 10px!important;border-bottom: 1px solid #dddddd;}}&lt;/style&gt;&lt;script type="text/javascript" data-savepage-src="chrome-extension://aadgmnobpdmgmigaicncghmmoeflnamj/ng-inspector.js" src=""&gt;&lt;/script&gt;&lt;link rel="icon" href=""&gt;&lt;/head&gt;&lt;body style="margin:0; padding:0; background-color:#F2F2F2;"&gt;&lt;span style="display: block; width: 640px !important; max-width: 640px; height: 1px" class="mobileOff"&gt;&lt;/span&gt;&lt;center&gt;&lt;table width="100%" border="0" cellpadding="0" cellspacing="0" bgcolor="#F2F2F2"&gt;&lt;tbody&gt;&lt;tr&gt;&lt;td align="center" valign="top"&gt;&lt;table width="640" cellpadding="0" cellspacing="0" border="0" class="wrapper" bgcolor="#FFFFFF"&gt;&lt;tbody&gt;&lt;tr&gt;&lt;td align="center" valign="top" bgcolor="#373B46" style="background-color:#373B46;"&gt;&lt;table width="600" cellpadding="0" cellspacing="0" border="0" class="container"&gt;&lt;tbody&gt;&lt;tr&gt;&lt;td width="100%" class="mobile" align="center" valign="middle" style="padding:10px;"&gt;&lt;img class="logo" src="https://cl.iconstruye.com/landing-home-prov/assents/images/logo-1.png" style="width: 120px;"&gt;&lt;/td&gt;&lt;/tr&gt;&lt;/tbody&gt;&lt;/table&gt;&lt;/td&gt;&lt;/tr&gt;&lt;/tbody&gt;&lt;/table&gt;			&lt;table width="640" cellpadding="0" cellspacing="0" border="0" class="wrapper" bgcolor="#FFFFFF"&gt;&lt;tbody&gt;&lt;tr&gt;&lt;td align="center" valign="top"&gt;&lt;table width="600" cellpadding="0" cellspacing="0" border="0" class="container-orange"&gt;&lt;tbody&gt;&lt;tr&gt;&lt;td align="center" valign="middle" style="min-height:110px"&gt;&lt;h3 style="font-size: 1.8em; font-weight: 200; color: #ffffff;"&gt;Recuperación de &lt;strong&gt;Contraseña&lt;/strong&gt;&lt;/h3&gt;&lt;/td&gt;&lt;/tr&gt;&lt;/tbody&gt;&lt;/table&gt;&lt;/td&gt;&lt;/tr&gt;&lt;tr&gt;&lt;td height="10" style="font-size:10px; line-height:10px;"&gt; &lt;/td&gt;&lt;/tr&gt;&lt;/tbody&gt;&lt;/table&gt;&lt;table width="640" cellpadding="0" cellspacing="0" border="0" class="wrapper" bgcolor="#FFFFFF"&gt;&lt;tbody&gt;&lt;tr&gt;&lt;td align="center" valign="top" style="padding: 10px 0;"&gt;&lt;table width="600" cellpadding="0" cellspacing="0" border="0" class="container"&gt;&lt;tbody&gt;&lt;tr&gt;&lt;td class="mobile" align="left" valign="top"&gt;&lt;p style="font-size: 1.1em; margin-bottom: 25px;"&gt;Estimado (a): &lt;strong&gt;&lt;nombusuario&gt;&lt;/strong&gt;&lt;/p&gt;&lt;p style=" font-size: 1.1em; text-align: justify; margin-bottom: 15px;"&gt;Junto con saludarte, recordamos que los datos de acceso a nuestro sistema son:&lt;/p&gt;&lt;p style=" font-size: 1.1em; text-align: left; margin-bottom: 15px;"&gt;Usuario: &lt;strong&gt;&lt;idusuario&gt;&lt;/strong&gt;&lt;br /&gt;Organización: &lt;strong&gt;&lt;nombempresa&gt;&lt;/strong&gt;&lt;br /&gt;Clave: &lt;strong&gt;&lt;clave&gt;&lt;/strong&gt;&lt;/p&gt;&lt;p style=" font-size: 1.1em; text-align: left; margin-bottom: 45px;"&gt;En caso de requerir información adicional, comunícate con nosotros al 2 486 1111 o al correo &lt;a style="color: #ff7d28;"href="mailto:portalproveedores@iconstruye.com"&gt;portalproveedores@iconstruye.com&lt;/a&gt;&lt;br /&gt;&lt;br /&gt;Atentamente,&lt;br /&gt;Equipo iConstruye&lt;/p&gt;&lt;/td&gt;&lt;/tr&gt;&lt;tr&gt;&lt;td class="mobile" align="center" valign="top"&gt;&lt;a href="https://besalco.iconstruye.com" style="background:#ff7d28; color:#fff; padding:10px 20px; text-decoration: none; border-radius:4px; margin: 10px 0;display:inline-block;font-size: 1.2em;font-weight: 400;line-height: 26px;"&gt;Ingresar al Portal de Pagos&lt;/a&gt;&lt;/td&gt;&lt;/tr&gt;&lt;/tbody&gt;&lt;/table&gt;&lt;/td&gt;&lt;/tr&gt;&lt;tr&gt;&lt;td height="20" style="font-size:10px; line-height:10px;"&gt; &lt;/td&gt;&lt;/tr&gt;&lt;/tbody&gt;&lt;/table&gt;&lt;table width="640" cellpadding="0" cellspacing="0" border="0" class="wrapper" bgcolor="#F2F2F2"&gt;&lt;tbody&gt;&lt;tr&gt;&lt;td height="10" style="font-size:10px; line-height:10px;"&gt; &lt;/td&gt;&lt;/tr&gt;&lt;tr&gt;&lt;td align="center" valign="top"&gt;&lt;table width="600" cellpadding="0" cellspacing="0" border="0" class="container"&gt;&lt;tbody&gt;&lt;tr&gt;&lt;td class="mobile footer" align="center" valign="top"&gt;&lt;p style="line-height: 1.5em; font-size: 0.9em; text-align: center; color: #999999;"&gt;Correo enviado a través de iConstruye | Todos los Derechos Reservados |&lt;/p&gt;&lt;/td&gt;&lt;/tr&gt;&lt;/tbody&gt;&lt;/table&gt;&lt;/td&gt;&lt;/tr&gt;&lt;tr&gt;&lt;td height="10" style="font-size:10px; line-height:10px;"&gt; &lt;/td&gt;&lt;/tr&gt;&lt;/tbody&gt;&lt;/table&gt; &lt;/td&gt;&lt;/tr&gt;&lt;/tbody&gt;&lt;/table&gt;&lt;/center&gt;&lt;div id="extension-kmmojbkhfhninkelnlcnliacgncnnikf-installed"&gt;&lt;/div&gt;&lt;/body&gt;&lt;/html&gt;</t>
  </si>
  <si>
    <t>Usuario Recuperar Contraseña portal Besalco</t>
  </si>
  <si>
    <t>Recuperar contraseña - Portal de Pagos de Icafal</t>
  </si>
  <si>
    <t>&lt;!DOCTYPE html&gt;&lt;html lang="en"&gt;&lt;head&gt;&lt;base href="http://diseno.iconstruye.cl/ic/desarrollando/portal-provedores/V5/email-avisos-portal-pago/aviso-nota-correccion.html"&gt;&lt;meta http-equiv="Content-Type" content="text/html; charset=UTF-8"&gt;&lt;meta name="viewport" content="width=device-width, initial-scale=1"&gt;&lt;meta http-equiv="X-UA-Compatible" content="IE=edge"&gt;&lt;title&gt;Recuperación de Contraseña&lt;/title&gt;&lt;style type="text/css"&gt;/* Outlines the grids, remove when sending *//*table td { border: 1px solid cyan; }*//* CLIENT-SPECIFIC STYLES */body, table, td, a { -webkit-text-size-adjust: 100%; -ms-text-size-adjust: 100%; font-family: Helvetica, sans-serif; font-weight: 300; color: #333333; font-size: 14px;}table, td { mso-table-lspace: 0pt; mso-table-rspace: 0pt; }img { -ms-interpolation-mode: bicubic; }h1 {font-size: 1.2em;}.orange {display: none;}.container-orange {background-color: #ff7d28;width: 100%;}.container-green {background-color: #48a548;width: 100%;}.boxes {width: 48%;/*background-color: #efefef;*/padding: 20px;}.footer img {display: block;width: 35%;height: auto;}/* RESET STYLES */img { border: 0; outline: none; text-decoration: none; }table { border-collapse: collapse !important; }body { margin: 0 !important; padding: 0 !important; width: 100% !important; }/* iOS BLUE LINKS */a[x-apple-data-detectors] {color: inherit !important;text-decoration: none !important;font-size: inherit !important;font-family: inherit !important;font-weight: inherit !important;line-height: inherit !important;}/* ANDROID CENTER FIX */div[style*="margin: 16px 0;"] { margin: 0 !important; }/* MEDIA QUERIES */@media all and (max-width:639px) { .wrapper{ width:320px!important; padding: 0 !important; }.container{ width:300px!important;padding: 0 !important; }.mobile{ width:300px!important; display:block!important; padding: 0 !important; }.img{ width:100% !important; height:auto !important; }*[class="mobileOff"] { width: 0px !important; display: none !important; }*[class*="mobileOn"] { display: block !important; max-height:none !important; }}@media screen and (max-width:380px) {h1 {font-size: 1.4em;text-align: center;color: #666666;}h3 {font-size: 1.6em!important;}.wrapper { width:100%!important; padding: 0 !important;}.mobile {width: 100% !important; padding: 0 !important; }.mobile p {text-align: center!important;font-size: 1.3em !important; }.boton {font-size: 1.8em !important;padding: 30px !important;}.footer p {font-size: 0.9em !important;}.footer p a { font-size: 0.9em !important; }.footer img {display: block;width: 50%;height: auto;}.logo {width: 70% !important;}.orange {position: absolute;top: 0;background-color: #ff7d28;display: block!important;}.up {display: none!important;}.down {margin-top: 90px!important;}.container-img {width:100%!important;padding: 0 !important;}.container-orange {width:100%!important;padding: 0 !important;}.container-orange h3 {font-size: 1.6em !important;}.boxes {padding: 10px!important;border-bottom: 1px solid #dddddd;}}&lt;/style&gt;&lt;script type="text/javascript" data-savepage-src="chrome-extension://aadgmnobpdmgmigaicncghmmoeflnamj/ng-inspector.js" src=""&gt;&lt;/script&gt;&lt;link rel="icon" href=""&gt;&lt;/head&gt;&lt;body style="margin:0; padding:0; background-color:#F2F2F2;"&gt;&lt;span style="display: block; width: 640px !important; max-width: 640px; height: 1px" class="mobileOff"&gt;&lt;/span&gt;&lt;center&gt;&lt;table width="100%" border="0" cellpadding="0" cellspacing="0" bgcolor="#F2F2F2"&gt;&lt;tbody&gt;&lt;tr&gt;&lt;td align="center" valign="top"&gt;&lt;table width="640" cellpadding="0" cellspacing="0" border="0" class="wrapper" bgcolor="#FFFFFF"&gt;&lt;tbody&gt;&lt;tr&gt;&lt;td align="center" valign="top" bgcolor="#373B46" style="background-color:#373B46;"&gt;&lt;table width="600" cellpadding="0" cellspacing="0" border="0" class="container"&gt;&lt;tbody&gt;&lt;tr&gt;&lt;td width="100%" class="mobile" align="center" valign="middle" style="padding:10px;"&gt;&lt;img class="logo" src="https://cl.iconstruye.com/landing-home-prov/assents/images/logo-1.png" style="width: 120px;"&gt;&lt;/td&gt;&lt;/tr&gt;&lt;/tbody&gt;&lt;/table&gt;&lt;/td&gt;&lt;/tr&gt;&lt;/tbody&gt;&lt;/table&gt;			&lt;table width="640" cellpadding="0" cellspacing="0" border="0" class="wrapper" bgcolor="#FFFFFF"&gt;&lt;tbody&gt;&lt;tr&gt;&lt;td align="center" valign="top"&gt;&lt;table width="600" cellpadding="0" cellspacing="0" border="0" class="container-orange"&gt;&lt;tbody&gt;&lt;tr&gt;&lt;td align="center" valign="middle" style="min-height:110px"&gt;&lt;h3 style="font-size: 1.8em; font-weight: 200; color: #ffffff;"&gt;Recuperación de &lt;strong&gt;Contraseña&lt;/strong&gt;&lt;/h3&gt;&lt;/td&gt;&lt;/tr&gt;&lt;/tbody&gt;&lt;/table&gt;&lt;/td&gt;&lt;/tr&gt;&lt;tr&gt;&lt;td height="10" style="font-size:10px; line-height:10px;"&gt; &lt;/td&gt;&lt;/tr&gt;&lt;/tbody&gt;&lt;/table&gt;&lt;table width="640" cellpadding="0" cellspacing="0" border="0" class="wrapper" bgcolor="#FFFFFF"&gt;&lt;tbody&gt;&lt;tr&gt;&lt;td align="center" valign="top" style="padding: 10px 0;"&gt;&lt;table width="600" cellpadding="0" cellspacing="0" border="0" class="container"&gt;&lt;tbody&gt;&lt;tr&gt;&lt;td class="mobile" align="left" valign="top"&gt;&lt;p style="font-size: 1.1em; margin-bottom: 25px;"&gt;Estimado (a): &lt;strong&gt;&lt;nombusuario&gt;&lt;/strong&gt;&lt;/p&gt;&lt;p style=" font-size: 1.1em; text-align: justify; margin-bottom: 15px;"&gt;Junto con saludarte, recordamos que los datos de acceso a nuestro sistema son:&lt;/p&gt;&lt;p style=" font-size: 1.1em; text-align: left; margin-bottom: 15px;"&gt;Usuario: &lt;strong&gt;&lt;idusuario&gt;&lt;/strong&gt;&lt;br /&gt;Organización: &lt;strong&gt;&lt;nombempresa&gt;&lt;/strong&gt;&lt;br /&gt;Clave: &lt;strong&gt;&lt;clave&gt;&lt;/strong&gt;&lt;/p&gt;&lt;p style=" font-size: 1.1em; text-align: left; margin-bottom: 45px;"&gt;En caso de requerir información adicional, comunícate con nosotros al 2 486 1111 o al correo &lt;a style="color: #ff7d28;"href="mailto:portalproveedores@iconstruye.com"&gt;portalproveedores@iconstruye.com&lt;/a&gt;&lt;br /&gt;&lt;br /&gt;Atentamente,&lt;br /&gt;Equipo iConstruye&lt;/p&gt;&lt;/td&gt;&lt;/tr&gt;&lt;tr&gt;&lt;td class="mobile" align="center" valign="top"&gt;&lt;a href="https://icafal.iconstruye.com" style="background:#ff7d28; color:#fff; padding:10px 20px; text-decoration: none; border-radius:4px; margin: 10px 0;display:inline-block;font-size: 1.2em;font-weight: 400;line-height: 26px;"&gt;Ingresar al Portal de Pagos&lt;/a&gt;&lt;/td&gt;&lt;/tr&gt;&lt;/tbody&gt;&lt;/table&gt;&lt;/td&gt;&lt;/tr&gt;&lt;tr&gt;&lt;td height="20" style="font-size:10px; line-height:10px;"&gt; &lt;/td&gt;&lt;/tr&gt;&lt;/tbody&gt;&lt;/table&gt;&lt;table width="640" cellpadding="0" cellspacing="0" border="0" class="wrapper" bgcolor="#F2F2F2"&gt;&lt;tbody&gt;&lt;tr&gt;&lt;td height="10" style="font-size:10px; line-height:10px;"&gt; &lt;/td&gt;&lt;/tr&gt;&lt;tr&gt;&lt;td align="center" valign="top"&gt;&lt;table width="600" cellpadding="0" cellspacing="0" border="0" class="container"&gt;&lt;tbody&gt;&lt;tr&gt;&lt;td class="mobile footer" align="center" valign="top"&gt;&lt;p style="line-height: 1.5em; font-size: 0.9em; text-align: center; color: #999999;"&gt;Correo enviado a través de iConstruye | Todos los Derechos Reservados |&lt;/p&gt;&lt;/td&gt;&lt;/tr&gt;&lt;/tbody&gt;&lt;/table&gt;&lt;/td&gt;&lt;/tr&gt;&lt;tr&gt;&lt;td height="10" style="font-size:10px; line-height:10px;"&gt; &lt;/td&gt;&lt;/tr&gt;&lt;/tbody&gt;&lt;/table&gt; &lt;/td&gt;&lt;/tr&gt;&lt;/tbody&gt;&lt;/table&gt;&lt;/center&gt;&lt;div id="extension-kmmojbkhfhninkelnlcnliacgncnnikf-installed"&gt;&lt;/div&gt;&lt;/body&gt;&lt;/html&gt;</t>
  </si>
  <si>
    <t>Usuario Recuperar Contraseña Portal Icafal</t>
  </si>
  <si>
    <t>&lt;!DOCTYPE html PUBLIC "-//W3C//DTD XHTML 1.0 Transitional//EN" "http://www.w3.org/TR/xhtml1/DTD/xhtml1-transitional.dtd"&gt;&lt;html xmlns="http://www.w3.org/1999/xhtml"&gt;&lt;head&gt;&lt;meta name="viewport" content="width=device-width" /&gt;&lt;meta http-equiv="Content-Type" content="text/html; charset=UTF-8" /&gt; 	&lt;title&gt;ICONSTRUYE&lt;/title&gt; 	&lt;style type="text/css"&gt;* {margin: 0;font-family: "Helvetica Neue", Helvetica, Arial, sans-serif;box-sizing: border-box;font-size: 14px;}img {max-width: 100%;}body {-webkit-font-smoothing: antialiased;-webkit-text-size-adjust: none;width: 100% !important;height: 100%;line-height: 1.6em;}table td {vertical-align: top;}body {background-color: #f6f6f6;}.body-wrap {background-color: #f6f6f6;width: 100%;}.container {display: block !important;max-width: 600px !important;margin: 0 auto !important;clear: both !important;}.content {max-width: 600px;margin: 0 auto;display: block;padding: 20px;}.main {background-color: #fff;border-bottom: 2px solid #EAEAEA;border-radius: 3px;}.content-wrap {padding: 15px 20px;}.content-block {padding: 0 0 20px;}.header {width: 100%;margin-bottom: 20px;}.pre-footer {width: 100%;clear: both;color: #333;padding: 20px 0px;}.footer {width: 100%;clear: both;color: #999;padding: 15px;}.footer p, .footer a, .footer td {color: #999;font-size: 11px;}.resume-box {background: #FFF0E5;}h1, h2, h3 {color: #000;margin: 20px 0 0;line-height: 1.2em;font-weight: 400;}h1 {font-size: 20px;font-weight: 500;}h2 {font-size: 24px;}h3 {font-size: 18px;}h4 {font-size: 14px;font-weight: 600;}p, ul, ol {margin-bottom: 10px;font-weight: normal;}p li, ul li, ol li {margin-left: 5px;list-style-position: inside;line-height: 1.3em;}a {color: #348eda;text-decoration: underline;}.btn-primary {background:#0994FF; color:#fff !important; padding:10px 20px; text-decoration: none; border-radius:8px; margin: 10px 0;display:inline-block;font-size: 1.1em;font-weight:bold;line-height: 23px;}.aligncenter {text-align: center;}.alignright {text-align: right;}.alignleft {text-align: left;}.clear {clear: both;}@media only screen and (max-width: 480px) {body {  padding: 0 !important;}h1, h2, h3, h4 { margin: 20px 0 5px !important;}h1 {  font-size: 22px !important;}h2 {  font-size: 18px !important;}h3 {  font-size: 16px !important;}.container {  padding: 0 !important;  width: 100% !important;}.content {  padding: 0 !important;}.content-wrap {  padding: 15px !important;}.mcnImage {max-width:100% !important;width:100% !important;} .img-app{margin-bottom: 10px;} table#banner td.w50{width: 50%;}a.button{width: 70px; margin-bottom: 10px;}span.sub-text{font-size: 16px;}}.sub-text{font-size: 18px;}a.button {     text-decoration: none; }.img-app{border: 1px solid #ff6b00;     border-radius:8px;     padding:5px 20px;   	width:140px;   	height: auto;   	margin-right: 10px;   	cursor: pointer;}&lt;/style&gt; &lt;/head&gt; &lt;body itemscope itemtype="http://schema.org/EmailMessage"&gt; 	&lt;table class="body-wrap"&gt; 		&lt;tr&gt; 			&lt;td&gt;&lt;/td&gt; 			&lt;td class="container" width="600"&gt; 				&lt;table class="main" width="100%" cellpadding="0" cellspacing="0"&gt; 					&lt;tr&gt; 						&lt;td&gt; 							&lt;table class="main" width="100%" cellpadding="0" cellspacing="0"&gt; 								&lt;tr&gt; 									&lt;td valign="top"&gt; 										&lt;img align="center" alt="" src="http://diseno.iconstruye.cl/ic/desarrollando/configuracion-celula/mailing/img/header-generico.png" width="600" style="max-width: 600px;padding-bottom: 0;display: inline !important;vertical-align: bottom;border: 0;height: auto;outline: none;text-decoration: none;-ms-interpolation-mode: bicubic;" class="mcnImage"&gt; 									&lt;/td&gt; 								&lt;/tr&gt; 							&lt;/table&gt; 							&lt;div class="content-wrap"&gt; 								&lt;table width="100%" cellpadding="0" cellspacing="0"&gt; 									&lt;tr&gt; 										&lt;td class="content-block" colspan="2"&gt; 											&lt;h3&gt;¡Te damos la &lt;b style="font-size: 16px;"&gt;bienvenida a ICONSTRUYE!&lt;/b&gt;&lt;/h3&gt; 										&lt;/td&gt; 									&lt;/tr&gt; 									&lt;tr&gt; 										&lt;td class="content-block"&gt; 											&lt;hr style="border-top: 1px solid #FF3C00;border-bottom: none;"&gt; 										&lt;/td&gt; 									&lt;/tr&gt; 									&lt;tr&gt; 										&lt;td colspan="2"&gt;  											&lt;p style="color:#000"&gt;Hola &lt;b&gt;&lt;nombusuario&gt;&lt;/b&gt;,&lt;br&gt;tu cuenta de usuario para comenzar a operar en ICONSTRUYE ha sido creada con éxito. Estos son tus datos de registro:&lt;/p&gt; 										&lt;/td&gt; 									&lt;/tr&gt; 								&lt;/table&gt; 							&lt;/div&gt;  							&lt;div class="content-wrap resume-box"&gt; 								&lt;table width="100%" cellpadding="0" cellspacing="0"&gt; 									&lt;tr&gt; 									  &lt;td colspan="alignleft" style="font-size: 16px;"&gt; 									    &lt;span class="sub-text" style="color: #ff6b00; font-weight: 700"&gt;Información de acceso&lt;/span&gt; &lt;br&gt;&lt;br&gt; 									    &lt;span class="text-notorious" style="color:#000"&gt;&lt;b&gt;Usuario:&lt;/b&gt; &lt;idusuario&gt;&lt;br&gt;&lt;/span&gt; 									    &lt;span class="text-notorious" style="color:#000"&gt;&lt;b&gt;Organización:&lt;/b&gt; &lt;nombempresa&gt;&lt;br&gt;&lt;/span&gt; 									    &lt;span class="text-notorious" style="color:#000"&gt;&lt;b&gt;Contraseña temporal:&lt;/b&gt; &lt;clave&gt;&lt;/span&gt;&lt;br&gt;&lt;br&gt; 									    &lt;span style="font-size: 13px; color: #ff6b00;"&gt;Te recomendamos que al ingresar cambies tu contraseña&lt;/span&gt; 									  &lt;/td&gt; 									&lt;/tr&gt; 								&lt;/table&gt; 							&lt;/div&gt;  							&lt;div class="content-wrap" style="padding-top: 40px;"&gt; 								&lt;table width="100%" cellspacing="0" cellpadding="0"&gt; 									&lt;tr class="aligncenter"&gt;       									&lt;td&gt;       										&lt;b style="color:#000"&gt;¡Descubre todo lo que puedes hacer en el ICONSTRUYE y como mejoramos tu gestión!&lt;/b&gt;&lt;br&gt;&lt;br&gt;       									&lt;/td&gt;       								&lt;/tr&gt;       								&lt;tr class="aligncenter"&gt;       									&lt;td&gt;       										&lt;a href="https://www.iconstruye.com/index.html" class="btn-primary"&gt;Ingresa a ICONSTRUYE&lt;/a&gt;       									&lt;/td&gt;       								&lt;/tr&gt; 								&lt;/table&gt; 							&lt;/div&gt;  							&lt;div class="content-wrap"&gt; 								&lt;table width="100%" cellspacing="0" cellpadding="0"&gt; 									&lt;tr&gt; 										&lt;td class="content-block"&gt;&lt;p style="color:#000"&gt;Saluda atentamente&lt;br&gt;&lt;b style="color:#000"&gt;Equipo ICONSTRUYE &lt;br&gt;&lt;span style="color: #FF6B00;"&gt;ICONSTRUYE®&lt;/span&gt;&lt;/b&gt;&lt;/p&gt; 										&lt;/td&gt; 									&lt;/tr&gt; 								&lt;/table&gt; 							&lt;/div&gt; 							&lt;/td&gt; 						&lt;/tr&gt; 					&lt;/table&gt; 							&lt;div class="pre-footer"&gt; 								&lt;table id="banner" width="100%" style="background-color: #fff; padding: 15px 20px"&gt; 									&lt;tr&gt; 										&lt;td class="w50"&gt; 											&lt;p&gt;Ahora que posees una cuenta,&lt;br&gt;&lt;b&gt;descarga nuestra App mobile&lt;/b&gt;&lt;/p&gt; 										&lt;/td&gt; 										&lt;td class="alignright"&gt; 											&lt;a href="https://play.google.com/store/apps/details?id=iConstruye.Mobile&amp;hl=es_CL&amp;gl=US" target="_blank"&gt;&lt;img align="center" alt="" src="http://diseno.iconstruye.cl//mailing/templates/img/google-play.png" width="100" class="img-app"&gt;&lt;/a&gt; 											&lt;a href="https://apps.apple.com/cl/app/iconstruye/id1408881055" target="_blank"&gt;&lt;img align="center" alt="" src="http://diseno.iconstruye.cl//mailing/templates/img/app-store.png" class="img-app"&gt;&lt;/a&gt; 										&lt;/td&gt; 									&lt;/tr&gt; 								&lt;/table&gt; 							&lt;/div&gt; 							&lt;div class="footer"&gt; 								&lt;table width="100%"&gt; 									&lt;tr&gt; 										&lt;td class="aligncenter content-block"&gt; 											&lt;em style="font-size: 12px !important;"&gt;Correo enviado a través de &lt;a href="https://www.iconstruye.com/index.html?ReturnUrl=%2fincludes%2fdefault.aspx" style="color: #ff6b00;"&gt;ICONSTRUYE&lt;/a&gt;®&amp;nbsp;·         									Copyright ©&amp;nbsp; Todos los Derechos Reservados&lt;/em&gt;&lt;br&gt; 										&lt;/td&gt; 									&lt;/tr&gt; 								&lt;/table&gt; 							&lt;/div&gt; 							&lt;/td&gt; 							&lt;td&gt; 							&lt;/td&gt; 						&lt;/tr&gt; 					&lt;/table&gt; 					&lt;/body&gt; 					&lt;/html&gt;</t>
  </si>
  <si>
    <t>Usuario Ingreso</t>
  </si>
  <si>
    <t>Aviso de Modificación de Cotización</t>
  </si>
  <si>
    <t>Estimados Sres. &lt;nombproveedor&gt;:&lt;br&gt;&lt;br&gt;Junto con saludarles, informamos a usted que la empresa &lt;nombempresa&gt; ha modificado la fecha de cierre de la Cotización &lt;numcz&gt;, &lt;nomcz&gt;. &lt;br&gt;Rogamos a usted tomar nota: &lt;br&gt;&lt;br&gt;Nueva Fecha de Cierre:   &lt;fechacierre&gt;&lt;br&gt;Recomendamos revisar más antecedentes en el Módulo Cotizaciones.&lt;br&gt;&lt;br&gt;&lt;br&gt;Atentamente,&lt;br&gt;&lt;br&gt;Equipo iConstruye&lt;br&gt;&lt;link&gt;&lt;br&gt;Mesa de Ayuda&lt;br&gt;486 11 11&lt;br&gt;&lt;img src="http://cl.iconstruye.com/images/logo.jpg" /img&gt;</t>
  </si>
  <si>
    <t>Cotizaciones, Modificación</t>
  </si>
  <si>
    <t>Cancelación de Orden de Compra</t>
  </si>
  <si>
    <t>Estimado Sr. &lt;nombsolicitante&gt;:&lt;br&gt;&lt;br&gt;Junto con saludarle, informamos a usted que la empresa &lt;nombproveedor&gt; ha Cancelado la Orden de Compra Nº &lt;numoc&gt;, &lt;nomoc&gt;.&lt;br&gt;&lt;br&gt;Para más antecedentes, ingrese al módulo Compras. &lt;br&gt;&lt;br&gt;&lt;br&gt;Atentamente,&lt;br&gt;&lt;br&gt;Equipo iConstruye&lt;br&gt;&lt;link&gt;&lt;br&gt;Mesa de Ayuda&lt;br&gt;486 11 11&lt;br&gt;&lt;img src="http://cl.iconstruye.com/images/logo.jpg" /img&gt;</t>
  </si>
  <si>
    <t>Orden de Compra, Cancelación</t>
  </si>
  <si>
    <t>Orden de compra no aceptada</t>
  </si>
  <si>
    <t>Estimados Sr. &lt;nombsolicitante&gt;:&lt;br&gt;&lt;br&gt;Junto con saludarle, informamos a usted que la empresa &lt;nombproveedor&gt; No ha Aceptado su Orden de Compra Nº &lt;numoc&gt;, &lt;nomoc&gt;.&lt;br&gt;&lt;br&gt;Para más información, ingrese al módulo Compras.&lt;br&gt;&lt;br&gt;&lt;br&gt;Atentamente,&lt;br&gt;&lt;br&gt;Equipo iConstruye&lt;br&gt;&lt;link&gt;&lt;br&gt;Mesa de Ayuda&lt;br&gt;486 11 11&lt;br&gt;&lt;img src="http://cl.iconstruye.com/images/logo.jpg" /img&gt;</t>
  </si>
  <si>
    <t>Orden de Compra, No Aceptada</t>
  </si>
  <si>
    <t>Orden de Compra aceptada</t>
  </si>
  <si>
    <t>Estimado Sr. &lt;nombsolicitante&gt;:&lt;br&gt;&lt;br&gt;&lt;br&gt;  Junto con saludarle, informamos a usted que la empresa &lt;nombproveedor&gt; ha aceptado su Orden de Compra Nº&lt;numoc&gt;, &lt;nomoc&gt;, del Centro de Gestión &lt;nomborgc&gt;.&lt;br&gt;&lt;br&gt;  Atentamente,&lt;br&gt;&lt;br&gt;  Equipo IConstruye&lt;br&gt;&lt;br&gt;  &lt;link&gt;&lt;br&gt;&lt;br&gt;  Mesa de Ayuda&lt;br&gt;&lt;br&gt;  486 11 11</t>
  </si>
  <si>
    <t>Orden de Compra, Aceptada</t>
  </si>
  <si>
    <t>Solicitud de cancelación de Orden de Compra</t>
  </si>
  <si>
    <t>Estimados Sres. &lt;nombproveedor&gt;:&lt;br&gt;&lt;br&gt;Junto con saludarle, informamos a usted que la empresa &lt;nombempresa&gt; ha Solicitado a usted la Cancelación de la Orden de Compra Nº &lt;numoc&gt;, &lt;nomoc&gt;.&lt;br&gt;&lt;br&gt;Para más antecedentes, ingrese al módulo de Compras. &lt;br&gt;&lt;br&gt;&lt;br&gt;Atentamente,&lt;br&gt;&lt;br&gt;Equipo iConstruye&lt;br&gt;&lt;link&gt;&lt;br&gt;Mesa de Ayuda&lt;br&gt;486 11 11&lt;br&gt;&lt;img src="http://cl.iconstruye.com/images/logo.jpg" /img&gt;</t>
  </si>
  <si>
    <t>Orden de Compra, Solicitud Cancelación</t>
  </si>
  <si>
    <t>Pedido de Materiales en Lista de Administración</t>
  </si>
  <si>
    <t>Estimado Sr. &lt;nombaprobador&gt;:&lt;br&gt;&lt;br&gt;Junto con saludarle, informamos a usted que tiene un nuevo Pedido de Materiales en su Lista de Administración.&lt;br&gt;&lt;br&gt;Nº Pedido:    &lt;numpm&gt;&lt;br&gt;Nombre Pedido:   &lt;nompm&gt;&lt;br&gt;Centro de Gestión:   &lt;nomborg&gt;&lt;br&gt;Fecha Creación:   &lt;fechacreacion&gt;&lt;br&gt;Solicitante:    &lt;nombsolicitante&gt;&lt;br&gt;&lt;br&gt;Para mayores antecedentes, ingrese al módulo Pedido de Materiales. &lt;br&gt;&lt;br&gt;&lt;br&gt;Atentamente,&lt;br&gt;&lt;br&gt;Equipo iConstruye&lt;br&gt;&lt;link&gt;&lt;br&gt;Mesa de Ayuda&lt;br&gt;486 11 11&lt;br&gt;&lt;img src="http://cl.iconstruye.com/images/logo.jpg" /img&gt;</t>
  </si>
  <si>
    <t>Pedido Materiales, Envío a Administración</t>
  </si>
  <si>
    <t>Notificación de Aprobación de Pedido de Materiales</t>
  </si>
  <si>
    <t>Estimado Sr. &lt;nombsolicitante&gt;:&lt;br&gt;&lt;br&gt;Junto con saludarle, informamos que el siguiente Pedido de Materiales generado por usted ha sido Aprobado.&lt;br&gt;&lt;br&gt;N° Pedido:   &lt;numpm&gt;&lt;br&gt;Nombre Pedido:  &lt;nompm&gt;&lt;br&gt;Centro de Gestión:  &lt;nomborgc&gt;&lt;br&gt;Fecha Aprobación:  &lt;fechaaprobacion&gt;&lt;br&gt;Aprobador:   &lt;nombaprobador&gt;&lt;br&gt;&lt;br&gt;&lt;br&gt;Atentamente,&lt;br&gt;&lt;br&gt;Equipo iConstruye&lt;br&gt;&lt;link&gt;&lt;br&gt;Mesa de Ayuda&lt;br&gt;486 11 11&lt;br&gt;&lt;img src="http://cl.iconstruye.com/images/logo.jpg" /img&gt;</t>
  </si>
  <si>
    <t>Pedido Materiales, Notifica Aprobación</t>
  </si>
  <si>
    <t>Envío de Orden de Compra a Proveedor No Integrado</t>
  </si>
  <si>
    <t>Estimado Sr. &lt;nombusuario&gt;:&lt;br&gt;&lt;br&gt;Junto con saludarle, informamos a usted que la Orden de Compra Nº &lt;numoc&gt;, &lt;nomoc&gt;, deberá ser enviada por fax, ya que la empresa &lt;nombproveedor&gt; es un proveedor No Integrado, vale decir, no tiene contratados los servicios de iConstruye y no podrá ver la OC por sistema. &lt;br&gt;&lt;br&gt;&lt;br&gt;Atentamente,&lt;br&gt;&lt;br&gt;Equipo iConstruye&lt;br&gt;&lt;link&gt;&lt;br&gt;Mesa de Ayuda&lt;br&gt;486 11 11&lt;br&gt;&lt;img src="http://cl.iconstruye.com/images/logo.jpg" /img&gt;</t>
  </si>
  <si>
    <t>Orden de Compra, Aviso PNI</t>
  </si>
  <si>
    <t>Pedido de Materiales &lt;numpm&gt; Rechazado</t>
  </si>
  <si>
    <t>Estimado Sr.:&lt;br&gt;&lt;br&gt;Junto con saludarle, informamos a usted que el siguiente Pedido de Materiales ha sido Rechazado.&lt;br&gt;&lt;br&gt;Nº Pedido:    &lt;numpm&gt;&lt;br&gt;Nombre Pedido:  &lt;nompm&gt;&lt;br&gt;Centro de Gestión:   &lt;nomborgc&gt;&lt;br&gt;Fecha Rechazo:   &lt;fechaaprobacion&gt;&lt;br&gt;Rechazado por:  &lt;nombaprobador&gt;&lt;br&gt;Comentario:   &lt;Rechazo&gt;&lt;br&gt;&lt;br&gt;Para mayores antecedentes, ingrese al módulo Pedido de materiales. &lt;br&gt;&lt;br&gt;&lt;br&gt;Atentamente,&lt;br&gt;&lt;br&gt;Equipo iConstruye&lt;br&gt;&lt;link&gt;&lt;br&gt;Mesa de Ayuda&lt;br&gt;486 11 11&lt;br&gt;&lt;img src="http://cl.iconstruye.com/images/logo.jpg" /img&gt;</t>
  </si>
  <si>
    <t>Pedido Materiales, Notifica Rechazo</t>
  </si>
  <si>
    <t>Pedido en Lista de Administración</t>
  </si>
  <si>
    <t>Estimado Sr. &lt;nombaprobador&gt;:&lt;br&gt;&lt;br&gt;Junto con saludarle, informamos a usted que tiene un nuevo Pedido de Materiales en su Lista de Administración.&lt;br&gt;&lt;br&gt;Nº Pedido:    &lt;numpm&gt;&lt;br&gt;Nombre Pedido:   &lt;nompm&gt;&lt;br&gt;Centro de Gestión:   &lt;nomborg&gt;&lt;br&gt;Fecha:    &lt;fechacreacion&gt;&lt;br&gt;Solicitante:    &lt;nombsolicitante&gt;&lt;br&gt;&lt;br&gt;Para mayores antecedentes, ingrese al módulo Pedido de Materiales. &lt;br&gt;&lt;br&gt;&lt;br&gt;Atentamente,&lt;br&gt;&lt;br&gt;Equipo iConstruye&lt;br&gt;&lt;link&gt;&lt;br&gt;Mesa de Ayuda&lt;br&gt;486 11 11&lt;br&gt;&lt;img src="http://cl.iconstruye.com/images/logo.jpg" /img&gt;</t>
  </si>
  <si>
    <t>Pedido Materiales, Notifica Super Administrador</t>
  </si>
  <si>
    <t>Asignación de Pedido de Materiales</t>
  </si>
  <si>
    <t>Estimado Sr. &lt;nombusuario&gt;:&lt;br&gt;&lt;br&gt;Junto con saludarle, informamos a usted que le ha sido Asignado un nuevo Pedido de Materiales.&lt;br&gt;&lt;br&gt;N° Pedido:    &lt;numpm&gt;&lt;br&gt;Nombre Pedido:   &lt;nompm&gt;&lt;br&gt;Centro de Gestión:  &lt;nomborgc&gt;&lt;br&gt;Fecha:    &lt;fechacreacion&gt;&lt;br&gt;Solicitante:    &lt;nombsolicitante&gt;&lt;br&gt;&lt;br&gt;Para revisarlo, visite el módulo Pedido de Materiales.&lt;br&gt;&lt;br&gt;&lt;br&gt;Atentamente,&lt;br&gt;&lt;br&gt;Equipo iConstruye&lt;br&gt;&lt;link&gt;&lt;br&gt;Mesa de Ayuda&lt;br&gt;486 11 11&lt;br&gt;&lt;img src="http://cl.iconstruye.com/images/logo.jpg" /img&gt;</t>
  </si>
  <si>
    <t>Pedido Materiales, Asignación</t>
  </si>
  <si>
    <t>Aprobación de Solicitud de Regularización</t>
  </si>
  <si>
    <t>Estimado Sr. &lt;nombusuario&gt;:&lt;br&gt;&lt;br&gt;Junto con saludarle, informamos a usted que tiene una nueva Regularización a la espera de su Aprobación.&lt;br&gt;&lt;br&gt;Solicitante:    &lt;nombsolicitante&gt;&lt;br&gt;Nº Regularización:   &lt;numrg&gt;&lt;br&gt;Nombre:    &lt;nombreg&gt;&lt;br&gt;Centro de Gestión:   &lt;nomborgc&gt;&lt;br&gt;Fecha Creación:   &lt;fechacreacion&gt;&lt;br&gt;&lt;br&gt;Para gestionar este documento, ingrese al módulo de Regularizaciones&lt;br&gt;&lt;br&gt;&lt;br&gt;Atentamente,&lt;br&gt;&lt;br&gt;Equipo iConstruye&lt;br&gt;&lt;link&gt;&lt;br&gt;Mesa de Ayuda&lt;br&gt;486 11 11&lt;br&gt;&lt;img src="http://cl.iconstruye.com/images/logo.jpg" /img&gt;</t>
  </si>
  <si>
    <t>Solicitud de Regularización, Envío a Aprobación</t>
  </si>
  <si>
    <t>Factura en Espera de Aprobación</t>
  </si>
  <si>
    <t>&lt;!DOCTYPE html PUBLIC "-//W3C//DTD XHTML 1.0 Transitional//EN" "http://www.w3.org/TR/xhtml1/DTD/xhtml1-transitional.dtd"&gt;&lt;html xmlns="http://www.w3.org/1999/xhtml"&gt;&lt;head&gt;&lt;meta name="viewport" content="width=device-width" /&gt;&lt;meta http-equiv="Content-Type" content="text/html; charset=UTF-8" /&gt;&lt;title&gt;ICONSTRUYE&lt;/title&gt;&lt;style type="text/css"&gt;* {margin: 0;font-family: "Helvetica Neue", Helvetica, Arial, sans-serif;box-sizing: border-box;font-size: 14px;}img {max-width: 100%;}body {-webkit-font-smoothing: antialiased;-webkit-text-size-adjust: none;width: 100% !important;height: 100%;line-height: 1.6em;}table td {vertical-align: top;}body {background-color: #f6f6f6;}.body-wrap {background-color: #f6f6f6;width: 100%;}.container {display: block !important;max-width: 600px !important;margin: 0 auto !important;clear: both !important;}.content {max-width: 600px;margin: 0 auto;display: block;padding: 20px;}.main {background-color: #fff;border: 1px solid #e9e9e9;border-radius: 3px;}.content-wrap {padding: 20px;}.content-block {padding: 0 0 20px;}.header {width: 100%;margin-bottom: 20px;}.footer {width: 100%;clear: both;color: #999;padding: 20px;}.footer p, .footer a, .footer td {color: #999;font-size: 12px;}.resume-box {background: #EBF6FF;}h1, h2, h3 {font-family: "Helvetica Neue", Helvetica, Arial, "Lucida Grande", sans-serif;color: #000;margin: 20px 0 0;line-height: 1.2em;font-weight: 400;}h1 {font-size: 20px;font-weight: 500;}h2 {font-size: 24px;}h3 {font-size: 18px;}h4 {font-size: 14px;font-weight: 600;}p, ul, ol {margin-bottom: 10px;font-weight: normal;}p li, ul li, ol li {margin-left: 5px;list-style-position: inside;line-height: 1.3em;}a {color: #348eda;text-decoration: underline;}.btn-primary {text-decoration: none;color: #FFF;background-color: #0284d3;padding: 10px 20px;line-height: 2em;font-weight: 400;font-size: 1.1em;text-align: center;cursor: pointer;display: inline-block;border-radius: 5px;text-transform: capitalize;}.last {margin-bottom: 0;}.first {margin-top: 0;}.aligncenter {text-align: center;}.alignright {text-align: right;}.alignleft {text-align: left;}.clear {clear: both;}.alert {font-size: 16px;color: #fff;font-weight: 500;padding: 20px;text-align: center;border-radius: 3px 3px 0 0;}.alert a {color: #fff;text-decoration: none;font-weight: 500;font-size: 16px;}.alert.alert-warning {background-color: #FF9F00;}.alert.alert-bad {background-color: #D0021B;}.alert.alert-good {background-color: #68B90F;}.invoice {margin: 40px auto;text-align: left;width: 80%;}.invoice td {padding: 5px 0;}.invoice .invoice-items {width: 100%;}.invoice .invoice-items td {border-top: #eee 1px solid;}.invoice .invoice-items .total td {border-top: 2px solid #333;border-bottom: 2px solid #333;font-weight: 700;}@media only screen and (max-width: 640px) {body {  padding: 0 !important;}h1, h2, h3, h4 {  font-weight: 800 !important;  margin: 20px 0 5px !important;}h1 {  font-size: 22px !important;}h2 {  font-size: 18px !important;}h3 {  font-size: 16px !important;}.container {  padding: 0 !important;  width: 100% !important;}.content {  padding: 0 !important;}.content-wrap {  padding: 10px !important;}.invoice {  width: 100% !important;}.mcnImage {max-width:100% !important;width:100% !important;}}&lt;/style&gt;&lt;/head&gt;&lt;body itemscope itemtype="http://schema.org/EmailMessage"&gt;&lt;table class="body-wrap"&gt;&lt;tr&gt;&lt;td&gt;&lt;/td&gt;	&lt;td class="container" width="600"&gt;&lt;table class="main" width="100%" cellpadding="0" cellspacing="0"&gt;&lt;tr&gt;&lt;td&gt;&lt;table class="main" width="100%" cellpadding="0" cellspacing="0"&gt;&lt;tr&gt;&lt;td valign="top"&gt;&lt;img align="center" alt="" src="https://cl.iconstruye.com/images/banner-generico.jpg" width="600" class="mcnImage"&gt;&lt;/td&gt;&lt;/tr&gt;&lt;/table&gt;&lt;div class="content-wrap"&gt;	&lt;table width="100%" cellpadding="0" cellspacing="0"&gt;&lt;tr&gt;&lt;td class="content-block"&gt; &lt;h3&gt;Factura en espera de aprobación&lt;/h3&gt;&lt;/td&gt;&lt;/tr&gt;&lt;tr&gt;&lt;td class="content-block" colspan="2"&gt; &lt;p&gt;Hola &lt;strong&gt;&lt;nombaprobador&gt;&lt;/strong&gt;,&lt;br&gt;Junto con saludar le informamos que tiene una nueva factura a la espera de aprobación.&lt;br&gt;&lt;br&gt;Solicitante: &lt;nombsolicitante&gt;&lt;br&gt;N° de Factura: &lt;numfc&gt;&lt;br&gt;Centro de Gestión: &lt;nomborgc&gt;&lt;br&gt;Fecha Recepción: &lt;fecharecepcion&gt;&lt;br&gt;Tipo Aprobación: Supera el monto del comprador &lt;br&gt;&lt;br&gt;Recuerde que puede aprobar desde la APP de &lt;a href="https://www.iconstruye.com"&gt;ICONSTRUYE.com&lt;/a&gt;&lt;br&gt;&lt;/p&gt; &lt;/td&gt;	&lt;/tr&gt;	&lt;tr&gt; &lt;td align="center" width="50%"&gt;&lt;a href="https://play.google.com/store/apps/details?id=iConstruye.Mobile&amp;hl=es_419&amp;gl=US"&gt;&lt;img src="https://cl.iconstruye.com/images/google-play001.jpg"&gt; &lt;/a&gt;&lt;/td&gt; &lt;td align="center" width="50%"&gt;&lt;a href="https://apps.apple.com/cl/app/iconstruye/id1408881055"&gt;&lt;img src="https://cl.iconstruye.com/images/app-store001.jpg"&gt; &lt;/a&gt;&lt;/td&gt;&lt;/tr&gt;&lt;/table&gt;&lt;/div&gt;&lt;table width="100%" cellspacing="0" cellpadding="0" class="resume-box"&gt;&lt;tr&gt;&lt;td&gt;&lt;div class="content-wrap"&gt;&lt;table&gt;&lt;tr&gt;&lt;td class="content-block"&gt;&lt;h3&gt;Conoce las otras soluciones que tenemos para ti&lt;/h3&gt;&lt;/td&gt;&lt;/tr&gt;&lt;tr&gt;&lt;td class="content-block"&gt;&lt;p&gt;Con &lt;strong&gt;Rinde Ágil, &lt;/strong&gt;rinde tus gastos en cuestión de segundos. No más respaldos en papeles, digitaliza cada paso de la rendición de gastos de tu empresa.&lt;/p&gt;&lt;/td&gt;&lt;/tr&gt;&lt;tr&gt;&lt;td class="content-block aligncenter"&gt;&lt;span class="hs-cta-wrapper" id="hs-cta-wrapper-a826c11a-e3aa-46df-84a5-e53b35388aa9"&gt;&lt;span class="hs-cta-node hs-cta-a826c11a-e3aa-46df-84a5-e53b35388aa9" id="hs-cta-a826c11a-e3aa-46df-84a5-e53b35388aa9"&gt;&lt;a href="https://cta-redirect.hubspot.com/cta/redirect/5032552/a826c11a-e3aa-46df-84a5-e53b35388aa9"  target="_blank" &gt;&lt;img class="hs-cta-img" id="hs-cta-img-a826c11a-e3aa-46df-84a5-e53b35388aa9" style="border-width:0px;" src="https://no-cache.hubspot.com/cta/default/5032552/a826c11a-e3aa-46df-84a5-e53b35388aa9.png"  alt="SOLICITA TU PRUEBA GRATIS AQUÍ"/&gt;&lt;/a&gt;&lt;/span&gt;&lt;script charset="utf-8" src="https://js.hscta.net/cta/current.js"&gt;&lt;/script&gt;&lt;script type="text/javascript"&gt; hbspt.cta.load(5032552,'a826c11a-e3aa-46df-84a5-e53b35388aa9', {}); &lt;/script&gt;&lt;/span&gt;&lt;/td&gt;&lt;/tr&gt;&lt;/table&gt;&lt;/div&gt;&lt;/td&gt;&lt;/tr&gt;&lt;/table&gt;&lt;div class="content-wrap"&gt;&lt;table width="100%" cellspacing="0" cellpadding="0"&gt;&lt;tr&gt;&lt;td class="content-block"&gt;&lt;p&gt;Saludos &lt;br&gt;&lt;strong&gt;Equipo ICONSTRUYE&lt;/strong&gt;&lt;/p&gt;&lt;/td&gt;&lt;/tr&gt;&lt;/table&gt;&lt;/div&gt;&lt;/td&gt;&lt;/tr&gt;&lt;/table&gt;&lt;div class="footer"&gt;&lt;table width="100%"&gt;&lt;tr&gt;&lt;td class="aligncenter content-block"&gt;¿Necesitas ayuda con este correo? &lt;a href="mailto:"&gt;mesadeayuda@iconstruye.com&lt;/a&gt;&lt;/td&gt;&lt;/tr&gt;&lt;tr&gt;&lt;td class="aligncenter content-block"&gt;&lt;em&gt;Correo enviado a través de ICONSTRUYE®&amp;nbsp; Copyright © -Todos los Derechos Reservados&lt;/em&gt;&lt;br&gt;&lt;p&gt;&lt;span style="font-size: 12px;"&gt;&lt;a href="[unsubscribe]" style="color:#999;"&gt;Si deseas salir del env&amp;iacute;o de emails de iConstruye haz click aqu&amp;iacute;&lt;/a&gt;&lt;/span&gt;&lt;/p&gt;&lt;/td&gt;&lt;/tr&gt;&lt;/table&gt;&lt;/div&gt;&lt;/td&gt;&lt;td&gt;&lt;/td&gt;&lt;/tr&gt;&lt;/table&gt;&lt;/body&gt;&lt;/html&gt;</t>
  </si>
  <si>
    <t>Factura, Envío a Aprobación</t>
  </si>
  <si>
    <t>Factura Aprobada</t>
  </si>
  <si>
    <t>Estimado Sr. &lt;nombsolicitante&gt;:&lt;br&gt;&lt;br&gt;Junto con saludarle, informamos a usted que la siguiente Factura ha sido Aprobada y se encuentra disponible para Pago.&lt;br&gt;&lt;br&gt;Proveedor:   &lt;razonsocial&gt; &lt;br&gt;Nº Documento:   &lt;numfc&gt; &lt;br&gt;Monto Factura:  &lt;totalfactura&gt; &lt;br&gt;Tipo Documento:  &lt;tipodoc&gt; &lt;br&gt;Centro de Gestión:   &lt;nomborgc&gt; &lt;br&gt;Fecha de Ingreso:   &lt;fechacreacion&gt; &lt;br&gt;Aprobador:    &lt;nombaprobador&gt;&lt;br&gt;&lt;br&gt;&lt;br&gt;Atentamente,&lt;br&gt;&lt;br&gt;Equipo iConstruye&lt;br&gt;&lt;link&gt;&lt;br&gt;Mesa de Ayuda&lt;br&gt;486 11 11&lt;br&gt;&lt;img src="http://cl.iconstruye.com/images/logo.jpg" /img&gt;</t>
  </si>
  <si>
    <t>Factura, Aprobada</t>
  </si>
  <si>
    <t>Factura Rechazada</t>
  </si>
  <si>
    <t>Estimado Sr. &lt;nombsolicitante&gt;:&lt;br&gt;&lt;br&gt;Junto con saludarle, informamos a usted que la siguiente Factura ha sido Rechazada.&lt;br&gt;&lt;br&gt;Proveedor:   &lt;razonsocial&gt; &lt;br&gt;Nº Documento:   &lt;numfc&gt;&lt;br&gt;Monto Factura:  &lt;totalfactura&gt;&lt;br&gt;Centro de Gestión:   &lt;nomborgc&gt;&lt;br&gt;Fecha Recepción:   &lt;fecharecepcion&gt;&lt;br&gt;Rechazada por:  &lt;nombaprobador&gt;&lt;br&gt;Comentario:   &lt;Rechazo&gt;&lt;br&gt;&lt;br&gt;&lt;br&gt;Atentamente,&lt;br&gt;&lt;br&gt;Equipo iConstruye&lt;br&gt;&lt;link&gt;&lt;br&gt;Mesa de Ayuda&lt;br&gt;486 11 11&lt;br&gt;&lt;img src="http://cl.iconstruye.com/images/logo.jpg" /img&gt;</t>
  </si>
  <si>
    <t>Factura, Rechazo</t>
  </si>
  <si>
    <t>Recepción con Rechazos</t>
  </si>
  <si>
    <t>Estimados Sres. Empresa &lt;nombproveedor&gt;: &lt;br&gt;&lt;br&gt;Junto con saludarle, informamos a usted que la empresa &lt;nombempresa&gt; ha registrado un Rechazo en la Recepción de Productos de la Orden de Compra Nº &lt;numoc&gt; del Centro de Gestión &lt;orgc&gt;, asociado al documento de recepción &lt;numdoc&gt; de tipo &lt;tipodoc&gt;.&lt;br&gt;&lt;br&gt; Atentamente,&lt;br&gt;&lt;br&gt;Equipo iConstruye&lt;br&gt;&lt;link&gt;&lt;br&gt;Mesa de Ayuda&lt;br&gt;486 11 11&lt;br&gt;&lt;img src="http://cl.iconstruye.com/images/logo.jpg" /img&gt;</t>
  </si>
  <si>
    <t>Estado de Pago Aprobado</t>
  </si>
  <si>
    <t>Estimado Sr. &lt;nombsolicitante&gt;:&lt;br&gt;&lt;br&gt;Junto con saludarle, informamos a usted que el siguiente Estado de Pago, ha sido Aprobado.&lt;br&gt;&lt;br&gt;Tipo Estado de Pago:  &lt;DesTipoDoc&gt;&lt;br&gt;Nº Estado Pago:   &lt;numep&gt;&lt;br&gt;Centro de Gestión:    &lt;nomborgc&gt;&lt;br&gt;Fecha creación:    &lt;fechacreacion&gt;&lt;br&gt;Nº Subcontrato:     &lt;numsubcontrato&gt;&lt;br&gt;Nombre Subcontrato:                 &lt;nomsubcontrato&gt; &lt;br&gt;&lt;br&gt;&lt;br&gt; Atentamente,&lt;br&gt;&lt;br&gt;Equipo iConstruye&lt;br&gt;&lt;link&gt;&lt;br&gt;Mesa de Ayuda&lt;br&gt;486 11 11&lt;br&gt;&lt;img src="http://cl.iconstruye.com/images/logo.jpg" /img&gt;</t>
  </si>
  <si>
    <t>Estado Pago, Notificación Aprobación</t>
  </si>
  <si>
    <t>Solicitud Cancelacion OC</t>
  </si>
  <si>
    <t>Estimado &lt;nombsolicitante&gt;: &lt;br&gt;&lt;br&gt; Junto con Saludarle, informamos a usted que se ha Cancelado la Orden de Compra Nº &lt;numoc&gt;, &lt;nomoc&gt;. &lt;br&gt;&lt;br&gt;&lt;br&gt; Atentamente, &lt;br&gt;&lt;br&gt; Equipo iConstruye &lt;br&gt; &lt;link&gt;&lt;br&gt;Mesa de Ayuda &lt;br&gt; 486 11 11</t>
  </si>
  <si>
    <t>Cancelación OC Comprador</t>
  </si>
  <si>
    <t>Aprobación de Factura (Aprobador Agregado a Flujo)</t>
  </si>
  <si>
    <t>Estimado Sr. &lt;nombaprobador&gt;:&lt;br&gt;&lt;br&gt;Junto con saludarle, informamos a usted que tiene una nueva Factura a la espera de su Aprobación.&lt;br&gt;&lt;br&gt;Solicitante:   &lt;nombsolicitante&gt;&lt;br&gt;N° Factura:    &lt;numfc&gt;&lt;br&gt;Centro de Gestión:   &lt;nomborgc&gt;&lt;br&gt;Fecha Recepción:   &lt;fecharecepcion&gt;&lt;br&gt;Tipo aprobación:  Aprobador agregado al flujo &lt;br&gt;&lt;br&gt;&lt;br&gt;Atentamente,&lt;br&gt;&lt;br&gt;Equipo iConstruye&lt;br&gt;&lt;link&gt;&lt;br&gt;Mesa de Ayuda&lt;br&gt;486 11 11&lt;br&gt;&lt;img src="http://cl.iconstruye.com/images/logo.jpg" /img&gt;</t>
  </si>
  <si>
    <t>Factura, Aprobador Agregado al Flujo</t>
  </si>
  <si>
    <t>Asunto:  Aviso Subcontrato</t>
  </si>
  <si>
    <t>Estimado Sr. &lt;nombusuario&gt;:    &lt;br&gt; &lt;br&gt; Junto con saludarle, le avisamos que el &lt;fechaenvio&gt; usted recibió el subcontrato número &lt;numoc&gt;, generado por la empresa &lt;nombempresa&gt;.    &lt;br&gt; Visite &lt;link&gt; para responderlo. &lt;br&gt; &lt;br&gt; Atentamente,  &lt;br&gt; Iconstruye  Mi brazo derecho  &lt;br&gt; &lt;link&gt; &lt;br&gt;</t>
  </si>
  <si>
    <t>Subcontrato, Aviso</t>
  </si>
  <si>
    <t>Preingreso Documento Rechazo</t>
  </si>
  <si>
    <t>Estimados Sres. &lt;nombproveedor&gt;:&lt;br&gt;&lt;br&gt;Junto con saludarle, informamos a usted que la Empresa &lt;nombempresa&gt; ha Rechazado el Preingreso de su &lt;tipodoc&gt;, Nº &lt;nrodoc&gt;.&lt;br&gt;&lt;br&gt;Para revisar más detalles, visite el módulo Preingreso de Documentos.  &lt;br&gt;&lt;br&gt;&lt;br&gt;Atentamente,&lt;br&gt;&lt;br&gt;Equipo iConstruye&lt;br&gt;&lt;link&gt;&lt;br&gt;Mesa de Ayuda&lt;br&gt;486 11 11&lt;br&gt;&lt;img src="http://cl.iconstruye.com/images/logo.jpg" /img&gt;</t>
  </si>
  <si>
    <t>Preingreso Documento, Rechazado Comprador</t>
  </si>
  <si>
    <t>Preingreso Documento Aprobado</t>
  </si>
  <si>
    <t>Estimados Sres. &lt;nombproveedor&gt;:&lt;br&gt;&lt;br&gt;Junto con saludarle, informamos a usted que la Empresa &lt;nombempresa&gt; ha Aprobado el Preingreso de su &lt;tipodoc&gt;, N° &lt;nrodoc&gt;.&lt;br&gt;&lt;br&gt;Para revisar más detalles, visite el módulo Preingreso de Documentos. &lt;br&gt;&lt;br&gt;&lt;br&gt;Atentamente,&lt;br&gt;&lt;br&gt;Equipo iConstruye&lt;br&gt;&lt;link&gt;&lt;br&gt;Mesa de Ayuda&lt;br&gt;486 11 11&lt;br&gt;&lt;img src="http://cl.iconstruye.com/images/logo.jpg" /img&gt;</t>
  </si>
  <si>
    <t>Preingreso Documento, Aprobado Comprador</t>
  </si>
  <si>
    <t>Aprobación de Estado de Pago</t>
  </si>
  <si>
    <t>Estimado Sr. &lt;nombusuario&gt;:&lt;br&gt;&lt;br&gt;Junto con saludarle, informamos a usted que tiene un nuevo Estado de Pago en espera de su Aprobación. &lt;br&gt;&lt;br&gt;Tipo Estado de Pago:   &lt;DesTipoDoc&gt;&lt;br&gt;Solicitante:     &lt;nombsolicitante&gt;&lt;br&gt;N° Estado Pago:    &lt;numep&gt;&lt;br&gt;Nº Subcontrato:   &lt;numsubcontrato&gt;&lt;br&gt;Nombre Subcontrato:   &lt;nomsubcontrato&gt;&lt;br&gt;Centro de Gestión:    &lt;nomborgc&gt;&lt;br&gt;Fecha creación solicitud:   &lt;fechacreacion&gt;&lt;br&gt;Tipo de Aprobación:   Estado de Pago supera el gasto del comprador &lt;br&gt;&lt;br&gt;Para mayor información, ingrese al módulo de Subcontratos&lt;br&gt;&lt;br&gt;&lt;br&gt;Atentamente,&lt;br&gt;&lt;br&gt;Equipo iConstruye&lt;br&gt;&lt;link&gt;&lt;br&gt;Mesa de Ayuda&lt;br&gt;486 11 11&lt;br&gt;&lt;img src="http://cl.iconstruye.com/images/logo.jpg" /img&gt;</t>
  </si>
  <si>
    <t>Estado Pago Envío a Aprobación</t>
  </si>
  <si>
    <t>Aprobación de Subcontrato</t>
  </si>
  <si>
    <t>Estimado Sr. &lt;nombusuario&gt;:&lt;br&gt;&lt;br&gt;Junto con saludarle, informamos a usted que tiene un nuevo Subcontrato en espera de su Aprobación.&lt;br&gt;&lt;br&gt;Solicitante:    &lt;nombsolicitante&gt;&lt;br&gt;N° Subcontrato:   &lt;numsc&gt;&lt;br&gt;Centro de Gestión:  &lt;nomborgc&gt;&lt;br&gt;Fecha Creación:   &lt;fechacreacion&gt;&lt;br&gt;Tipo de Aprobación:  Subcontrato supera el gasto del comprador &lt;br&gt;Monto Contrato: &lt;montoaprobar&gt;&lt;br&gt;&lt;br&gt;Atentamente,&lt;br&gt;&lt;br&gt;Equipo iConstruye&lt;br&gt;&lt;link&gt;&lt;br&gt;Mesa de Ayuda&lt;br&gt;486 11 11&lt;br&gt;&lt;img src="http://cl.iconstruye.com/images/logo.jpg" /img&gt;</t>
  </si>
  <si>
    <t>Subcontrato, Envío a Aprobación</t>
  </si>
  <si>
    <t>Aprobación de Subcontrato (Aprobador Agregado a Flujo)</t>
  </si>
  <si>
    <t>Estimado Sr. &lt;nombusuario&gt;:&lt;br&gt;&lt;br&gt;Junto con saludarle, informamos a usted que tiene un nuevo Subcontrato en espera de su Aprobación. &lt;br&gt;&lt;br&gt;Solicitante:    &lt;nombsolicitante&gt;&lt;br&gt;Nº Subcontrato:   &lt;numsc&gt;&lt;br&gt;Centro de Gestión:  &lt;nomborgc&gt;&lt;br&gt;Fecha Creación:   &lt;fechacreacion&gt;&lt;br&gt;Tipo de Aprobación:  Aprobador agregado al flujo.&lt;br&gt;&lt;br&gt;&lt;br&gt;Atentamente,&lt;br&gt;&lt;br&gt;Equipo iConstruye&lt;br&gt;&lt;link&gt;&lt;br&gt;Mesa de Ayuda&lt;br&gt;486 11 11&lt;br&gt;&lt;img src="http://cl.iconstruye.com/images/logo.jpg" /img&gt;</t>
  </si>
  <si>
    <t>Subcontrato, Envío a Aprobación Añadido</t>
  </si>
  <si>
    <t>Subcontrato aprobado</t>
  </si>
  <si>
    <t>Estimado Sr. &lt;nombsolicitante&gt;:&lt;br&gt;&lt;br&gt;Junto con saludarle, informamos que el siguiente Subcontrato generado por usted, ha sido Aprobado.&lt;br&gt;&lt;br&gt;Nº Subcontrato:   &lt;numsc&gt;&lt;br&gt;Nombre:   &lt;nomsc&gt; &lt;br&gt;Centro de Gestión:   &lt;nomborgc&gt;&lt;br&gt;Fecha Solicitud:   &lt;fechacreacion&gt;&lt;br&gt;Aprobador:    &lt;nombaprobador&gt;&lt;br&gt;&lt;br&gt;&lt;br&gt;Atentamente,&lt;br&gt;&lt;br&gt;Equipo iConstruye &lt;br&gt;&lt;link&gt;&lt;br&gt;Mesa de Ayuda&lt;br&gt;486 11 11&lt;br&gt;&lt;img src="http://cl.iconstruye.com/images/logo.jpg" /img&gt;</t>
  </si>
  <si>
    <t>Subcontrato, Aprobación Total</t>
  </si>
  <si>
    <t>Subcontrato Rechazado</t>
  </si>
  <si>
    <t>Estimado Sr. &lt;nombsolicitante&gt;:&lt;br&gt;&lt;br&gt;Junto con saludarle, informamos que el siguiente Subcontrato generado por usted, ha sido Rechazado. &lt;br&gt;&lt;br&gt;Nº Subcontrato:   &lt;numsc&gt;&lt;br&gt;Nombre:   &lt;nomsc&gt;&lt;br&gt;Centro de Gestión:   &lt;nomborgc&gt;&lt;br&gt;Fecha Solicitud:   &lt;fechacreacion&gt;&lt;br&gt;Rechazado por:   &lt;nombaprobador&gt;&lt;br&gt;Comentario:   &lt;Rechazo&gt;&lt;br&gt;&lt;br&gt;&lt;br&gt;Atentamente,&lt;br&gt;&lt;br&gt;Equipo iConstruye&lt;br&gt;&lt;link&gt;&lt;br&gt;Mesa de Ayuda&lt;br&gt;486 11 11&lt;br&gt;&lt;img src="http://cl.iconstruye.com/images/logo.jpg" /img&gt;</t>
  </si>
  <si>
    <t>Subcontrato, Rechazado Aprobador</t>
  </si>
  <si>
    <t>Linea de Pedido de Material Rechazada</t>
  </si>
  <si>
    <t>Estimado Sr. &lt;nombsolicitante&gt;:  &lt;br&gt; Junto con saludarle, le informamos que el Sr. &lt;nombaprobador&gt;  ha eliminado una linea del Pedido de Material Solicitado por Ud. &lt;br&gt;  &lt;br&gt;  No. Pedido: &lt;numpm&gt;  &lt;br&gt;  Nombre Pedido: &lt;nompm&gt; &lt;br&gt;  Organización: &lt;nomborgc&gt; &lt;br&gt;  Fecha Rechazo: &lt;fechacreacion&gt; &lt;br&gt;  Código Prod: &lt;cod&gt; &lt;br&gt;  Cantidad : &lt;cantidad&gt; &lt;br&gt;  Descripcion:&lt;descripcion&gt; &lt;br&gt;  Glosa:&lt;glosa&gt; &lt;br&gt;  &lt;br&gt;  Atentamente,&lt;br&gt;&lt;br&gt;Equipo iConstruye&lt;br&gt;&lt;link&gt;&lt;br&gt;Mesa de Ayuda&lt;br&gt;486 11 11&lt;br&gt;&lt;img src="http://cl.iconstruye.com/images/logo.jpg" /img&gt;</t>
  </si>
  <si>
    <t>Eliminación de Linea de Pedido de Material</t>
  </si>
  <si>
    <t>Estado de Pago Rechazado</t>
  </si>
  <si>
    <t>Estimado Sr. &lt;nombsolicitante&gt;:&lt;br&gt;&lt;br&gt;Junto con saludarle, informamos que el siguiente Estado de Pago ingresado por usted ha sido Rechazado. &lt;br&gt;&lt;br&gt;N° Estado Pago:  &lt;numep&gt; &lt;br&gt;Tipo Estado Pago:            &lt;DesTipoDoc&gt;&lt;br&gt;Centro de Gestión:   &lt;nomborgc&gt; &lt;br&gt;Fecha ingreso:  &lt;fechacreacion&gt;.&lt;br&gt;Comentario:   &lt;Rechazo&gt;&lt;br&gt;Subcontrato:                    &lt;nomsubcontrato&gt;&lt;br&gt;N°:                                  &lt;numsubcontrato&gt; &lt;br&gt;&lt;br&gt;&lt;br&gt;Atentamente,&lt;br&gt;&lt;br&gt;Equipo iConstruye&lt;br&gt;&lt;link&gt;&lt;br&gt;Mesa de Ayuda&lt;br&gt;486 11 11&lt;br&gt;&lt;img src="http://cl.iconstruye.com/images/logo.jpg" /img&gt;</t>
  </si>
  <si>
    <t>Estado Pago, Notificación Rechazo</t>
  </si>
  <si>
    <t>Aprobación de Estado de Pago (Aprobador Agregado a Flujo)</t>
  </si>
  <si>
    <t>Estimado Sr. &lt;nombusuario&gt;:&lt;br&gt;&lt;br&gt;Junto con saludarle, informamos a usted que tiene un nuevo Estado de Pago en espera de su Aprobación. &lt;br&gt;&lt;br&gt;Tipo Estado de Pago:   &lt;DesTipoDoc&gt;&lt;br&gt;Solicitante:     &lt;nombsolicitante&gt;&lt;br&gt;N° Estado Pago:    &lt;numep&gt;&lt;br&gt;Folio Subcontrato:    &lt;foliosc&gt;&lt;br&gt;Centro de Gestión:    &lt;nomborgc&gt;&lt;br&gt;Fecha creación solicitud:   &lt;fechacreacion&gt;&lt;br&gt;Tipo de Aprobación:   Aprobador agregado al flujo.&lt;br&gt;&lt;br&gt;&lt;br&gt;Atentamente,&lt;br&gt;&lt;br&gt;Equipo iConstruye&lt;br&gt;&lt;link&gt;&lt;br&gt;Mesa de Ayuda&lt;br&gt;486 11 11&lt;br&gt;&lt;img src="http://cl.iconstruye.com/images/logo.jpg" /img&gt;</t>
  </si>
  <si>
    <t>Aviso de Stock Critico</t>
  </si>
  <si>
    <t>Estimado Sr. &lt;NombreUsu&gt;:&lt;br&gt;&lt;br&gt;Junto con saludarle, informamos a usted que el siguiente producto se encuentra bajo el valor definido como Stock Crítico. &lt;br&gt;&lt;br&gt;Código:   &lt;CodigoItem&gt;&lt;br&gt;Descripción:    &lt;DescripcionItem&gt;&lt;br&gt;Bodega:   &lt;NombreBodega&gt;&lt;br&gt;Centro de Gestión:  &lt;NombreOrg&gt;&lt;br&gt;Stock Actual:  &lt;Saldo&gt;&lt;br&gt;Stock Crítico:  &lt;StockCritico&gt;&lt;br&gt;&lt;br&gt;&lt;br&gt;Atentamente,&lt;br&gt;&lt;br&gt;Equipo iConstruye&lt;br&gt;&lt;link&gt;&lt;br&gt;Mesa de Ayuda&lt;br&gt;486 11 11&lt;br&gt;&lt;img src="http://cl.iconstruye.com/images/logo.jpg" /img&gt;</t>
  </si>
  <si>
    <t>Bodega, Aviso stock crítico</t>
  </si>
  <si>
    <t>Su Convenio ha sido Despublicado</t>
  </si>
  <si>
    <t>Estimado Sr. &lt;nombusuario&gt;:&lt;br&gt;&lt;br&gt;Junto con saludarle, informamos a usted que el siguiente Convenio  ha finalizado su tiempo de Publicación. &lt;br&gt;&lt;br&gt;Nº Convenio:   &lt;numcv&gt;&lt;br&gt;Nombre Convenio:   &lt;nomcv&gt;&lt;br&gt;Empresa:    &lt;nombempresa&gt;&lt;br&gt;Fecha Creación:  &lt;fechacreacion&gt;&lt;br&gt;Fecha Vigencia:  &lt;fechavigencia&gt;&lt;br&gt;&lt;br&gt;&lt;br&gt;Atentamente,&lt;br&gt;&lt;br&gt;Equipo iConstruye&lt;br&gt;&lt;link&gt;&lt;br&gt;Mesa de Ayuda&lt;br&gt;486 11 11&lt;br&gt;&lt;img src="http://cl.iconstruye.com/images/logo.jpg" /img&gt;</t>
  </si>
  <si>
    <t>Despublicación de Convenio</t>
  </si>
  <si>
    <t>Pedido de Materiales Aprobador Añadido</t>
  </si>
  <si>
    <t>Estimado Sr. &lt;nombaprobador&gt;:&lt;br&gt;&lt;br&gt;Junto con saludarle, informamos a usted que tiene un nuevo Pedido de Materiales en espera de su Aprobación. &lt;br&gt;&lt;br&gt;Nº Pedido:    &lt;numpm&gt;&lt;br&gt;Nombre Pedido:   &lt;nompm&gt;&lt;br&gt;Centro de Gestión:   &lt;nomborgc&gt;&lt;br&gt;Fecha:    &lt;fechacreacion&gt;&lt;br&gt;Solicitante:    &lt;nombsolicitante&gt;&lt;br&gt;Tipo de Aprobación:  Aprobador agregado al flujo. &lt;br&gt;&lt;br&gt;&lt;br&gt;Para revisarlo, visite el módulo Pedido de Materiales.&lt;br&gt;&lt;br&gt;&lt;br&gt;Atentamente,&lt;br&gt;&lt;br&gt;Equipo iConstruye&lt;br&gt;&lt;link&gt;&lt;br&gt;Mesa de Ayuda&lt;br&gt;486 11 11&lt;br&gt;&lt;img src="http://cl.iconstruye.com/images/logo.jpg" /img&gt;</t>
  </si>
  <si>
    <t>Pedido Materiales, Aprobador Añadido</t>
  </si>
  <si>
    <t>Pedido de Materiales en Espera de Aprobación</t>
  </si>
  <si>
    <t>Estimado Sr. &lt;nombaprobador&gt;:&lt;br&gt;&lt;br&gt;Junto con saludarle, informamos a usted que tiene un nuevo Pedido de Materiales en espera de su Aprobación. &lt;br&gt;&lt;br&gt;Nº Pedido:    &lt;numpm&gt;&lt;br&gt;Nombre Pedido:   &lt;nompm&gt;&lt;br&gt;Centro de Gestión:   &lt;nomborgc&gt;&lt;br&gt;Fecha:    &lt;fechacreacion&gt;&lt;br&gt;Solicitante:    &lt;nombsolicitante&gt;&lt;br&gt;Para revisarlo, visite el módulo Pedido de Materiales.&lt;br&gt;&lt;br&gt;&lt;br&gt;Atentamente,&lt;br&gt;&lt;br&gt;Equipo iConstruye&lt;br&gt;&lt;link&gt;&lt;br&gt;Mesa de Ayuda&lt;br&gt;486 11 11&lt;br&gt;&lt;img src="http://cl.iconstruye.com/images/logo.jpg" /img&gt;</t>
  </si>
  <si>
    <t>Pedido Materiales, Envío a Aprobación</t>
  </si>
  <si>
    <t>Generación Automatica de Bodega</t>
  </si>
  <si>
    <t>Estimado Sr. &lt;nombusuario&gt;:&lt;br&gt;&lt;br&gt;Junto con saludarle, informamos a usted que en el Centro de Gestión &lt;nombrecg&gt; se ha generado automáticamente una Bodega, solicitamos a usted verificar los datos asociados. &lt;br&gt;&lt;br&gt;Código Bodega:   001&lt;br&gt;Nombre Bodega:   &lt;nombrebod&gt;&lt;br&gt;Encargado Bodega:   &lt;nombencargado&gt;&lt;br&gt;Comentarios:   Bodega generada automáticamente por el sistema &lt;br&gt;Prefijo de Entrada:  E-&lt;br&gt;Correlativo de Entrada:  1&lt;br&gt;Prefijo de Salida:   S-&lt;br&gt;Correlativo de Salida:  1&lt;br&gt;&lt;br&gt;Para revisar o modificar estos antecedentes, visite el módulo Bodega. &lt;br&gt;&lt;br&gt;&lt;br&gt;Atentamente,&lt;br&gt;&lt;br&gt;Equipo iConstruye&lt;br&gt;&lt;link&gt;&lt;br&gt;Mesa de Ayuda&lt;br&gt;486 11 11&lt;br&gt;&lt;img src="http://cl.iconstruye.com/images/logo.jpg" /img&gt;</t>
  </si>
  <si>
    <t>Aprobación de facturas</t>
  </si>
  <si>
    <t>Estimado Sr. &lt;nombreproveedor&gt;:&lt;br&gt;&lt;br&gt;Junto con saludarle, informamos a usted que el &lt;fechaenvio&gt;, la empresa &lt;nombempresa&gt;, ha Aprobado la Factura &lt;numerofactura&gt;.&lt;br&gt;&lt;br&gt;&lt;br&gt;Atentamente,&lt;br&gt;&lt;br&gt;Equipo iConstruye&lt;br&gt;&lt;link&gt;&lt;br&gt;Mesa de Ayuda&lt;br&gt;486 11 11&lt;br&gt;&lt;img src="http://cl.iconstruye.com/images/logo.jpg" /img&gt;</t>
  </si>
  <si>
    <t>Aprobación de facturas Proveedor</t>
  </si>
  <si>
    <t>Solicitud de Nota Corrección</t>
  </si>
  <si>
    <t>Estimado Sr. &lt;nombreproveedor&gt;:&lt;br&gt;&lt;br&gt;Junto con saludarle, informamos a usted que el &lt;fechaenvio&gt; usted recibió una solicitud de &lt;tiponota&gt;, de la empresa &lt;nombempresa&gt;, correspondiente a la factura número &lt;numfactura&gt;, por concepto de &lt;motivo&gt;.&lt;br&gt;&lt;br&gt;Los Documentos de Recepción afectados son: &lt;docrecp&gt;.&lt;br&gt;Las Órdenes de Compra afectadas son:   &lt;dococ&gt;.&lt;br&gt;&lt;br&gt;&lt;br&gt;Atentamente,&lt;br&gt;&lt;br&gt;Equipo iConstruye&lt;br&gt;&lt;link&gt;&lt;br&gt;Mesa de Ayuda&lt;br&gt;486 11 11&lt;br&gt;&lt;img src="http://cl.iconstruye.com/images/logo.jpg" /img&gt;</t>
  </si>
  <si>
    <t>Solicitud de Nota Corrección Proveedor</t>
  </si>
  <si>
    <t>Cancelación de Solicitud de Nota Corrección</t>
  </si>
  <si>
    <t>Estimado Sr. &lt;nombreproveedor&gt;:&lt;br&gt;&lt;br&gt;Junto con saludarle, informamos a usted que el &lt;fechaenvio&gt;, la empresa &lt;nombempresa&gt; ha Cancelado la Solicitud de &lt;tiponota&gt;, correspondiente a la factura número &lt;numfactura&gt;.&lt;br&gt;&lt;br&gt;Para revisar más antecedentes, ingrese al módulo de Facturación &lt;br&gt;&lt;br&gt;&lt;br&gt;Atentamente,&lt;br&gt;&lt;br&gt;Equipo iConstruye&lt;br&gt;&lt;link&gt;&lt;br&gt;Mesa de Ayuda&lt;br&gt;486 11 11&lt;br&gt;&lt;img src="http://cl.iconstruye.com/images/logo.jpg" /img&gt;</t>
  </si>
  <si>
    <t>Cancelación de Solicitud de Nota Corrección Proveedor</t>
  </si>
  <si>
    <t>FACTURA CANCELADA</t>
  </si>
  <si>
    <t>Estimado Sr. Usuario:&lt;br&gt;&lt;br&gt;Junto con saludarle, informamos a usted que la siguiente Factura ha sido Cancelada.&lt;br&gt;&lt;br&gt;Nº Factura:    &lt;NumFactura&gt;&lt;br&gt;Folio Único: &lt;FolioUnico&gt;&lt;br&gt;Centro Gestión:   &lt;NomOrgC&gt;&lt;br&gt;Fecha de Ingreso:   &lt;FechaCreacion&gt;&lt;br&gt;Cancelada por:   &lt;NomUsuarioCanc&gt;&lt;br&gt;Comentarios:   &lt;Comentarios&gt;&lt;br&gt;Información Asociada a la Factura (notas): &lt;InfoAsocNotas&gt;&lt;br&gt;&lt;br&gt;Para revisar más antecedentes, ingrese al módulo Factura. &lt;br&gt;&lt;br&gt;&lt;br&gt;Atentamente,&lt;br&gt;&lt;br&gt;Equipo iConstruye&lt;br&gt;&lt;link&gt;&lt;br&gt;Mesa de Ayuda&lt;br&gt;2 486 11 11&lt;br&gt;&lt;img src="http://cl.iconstruye.com/images/logo.jpg" /img&gt;</t>
  </si>
  <si>
    <t>Cancelación de Factura</t>
  </si>
  <si>
    <t>NOTA DE CORRECCION CANCELADA</t>
  </si>
  <si>
    <t>Estimado Sr. &lt;nombusuario&gt;:&lt;br&gt;&lt;br&gt;Junto con saludarle, informamos a usted que el siguiente documento ha sido Cancelado&lt;br&gt;&lt;br&gt;N° Documento:   &lt;NumFactura&gt;&lt;br&gt;Tipo Documento:   &lt;TipoDoc&gt;&lt;br&gt;Centro de Gestión:   &lt;NomOrgC&gt;&lt;br&gt;Fecha de Ingreso:   &lt;FechaCreacion&gt;&lt;br&gt;Cancelado por:   &lt;NomUsuarioCanc&gt;&lt;br&gt;Comentarios:   &lt;Comentarios&gt;&lt;br&gt;&lt;br&gt;&lt;br&gt;Atentamente,&lt;br&gt;&lt;br&gt;Equipo iConstruye&lt;br&gt;&lt;link&gt;&lt;br&gt;Mesa de Ayuda&lt;br&gt;486 11 11&lt;br&gt;&lt;img src="http://cl.iconstruye.com/images/logo.jpg" /img&gt;</t>
  </si>
  <si>
    <t>Cancelación de Nota de Correccion</t>
  </si>
  <si>
    <t>b2bsalfa@iconstruye.com</t>
  </si>
  <si>
    <t>Nueva OC de SALFACORP &lt;numoc&gt;</t>
  </si>
  <si>
    <t xml:space="preserve">&lt;div style="width:600px;"&gt;    &lt;p style="font-family:Arial; font-size:12px; text-     align:left;"&gt;&lt;b&gt;Estimados Sr. &lt;nombreproveedor&gt;&lt;/b&gt;&lt;br/&gt;&lt;br/&gt;    Por encargo del &lt;b&gt;Holding      Salfacorp&lt;/b&gt; le informamos que el día &lt;fechaenvio&gt;  le ha generado la orden de compra N° &lt;NUMOC&gt;. Para      visualizar haga &lt;link&gt;.&lt;br&gt;&lt;br&gt;Para aceptar o rechazar esta orden de compra debe responder este correo,      &lt;b&gt;como plazo máximo dentro de 8 horas hábiles&lt;/b&gt;, señalando claramente su decisión. En caso de      rechazar la OC debe explicar claramente las razones del rechazo.&lt;br&gt;En caso de cualquier duda o      consulta póngase en contacto con iConstruye - B2B SALFA al 24861220 o al e-mail &lt;a      mailto="b2bsalfa@iconstruye.com"&gt;b2bsalfa@iconstruye.com&lt;/a&gt;.&lt;br&gt;&lt;br&gt;&lt;b&gt;Si usted no es el representante      interno en su organización para gestionar esta Orden de Compra, responda este correo indicado el nombre      y correo electrónico del contacto.&lt;/b&gt;&lt;br&gt;&lt;br&gt;&lt;b&gt;Al aceptar la OC "Preliminar" accederá a la OC oficial      de SALFACORP documento válido para proceso de facturación y pago.&lt;/span&gt;&lt;/b&gt;&lt;br/&gt;&lt;br&gt;&lt;a      href="https://www.iconstruye.com/"&gt;Contáctenos&lt;/a&gt; para su      incorporación como &lt;a      href="https://www.iconstruye.com/"&gt;Proveedor Integrado&lt;/a&gt;, a      la Comunidad de Iconstruye y  realizar en línea la gestión completa de sus negocios con SALFACORP  y      con las otras 170 &lt;a      href="https://cl.iconstruye.com/lista_clientes/pdf/constructoras-201806.pdf"&gt;Constructoras&lt;/a&gt;      que gestionan su abastecimiento a través de &lt;a      href="https://www.iconstruye.com/"&gt;www.iconstruye.com&lt;/a&gt;&lt;br&gt;&lt;br&gt;Atte,&lt;br&gt;Iconstruye, S.A.&lt;br&gt;Servicio de      Activación de Órdenes de Compra.&lt;/b&gt;&lt;br&gt;&lt;img src="http://cl.iconstruye.com/images/logo.jpg"      /img&gt;&lt;br/&gt;&lt;br/&gt;   &lt;span style="font-size:10px;"&gt;&lt;b&gt;PD1: Recomendamos la utilización de Internet      Explorer 7 ó superior.&lt;/span&gt;&lt;/b&gt;&lt;br/&gt;    &lt;span style="font-size:10px;"&gt;&lt;b&gt;PD2: Para visualizar la      orden, debe tener Adobe Acrobat (TM) Reader instalado en su computador. &lt;a      href="http://get.adobe.com/es/reader"&gt;Descarguelo aquí&lt;/a&gt;.&lt;/span&gt;&lt;/b&gt;     &lt;/p&gt;    &lt;/div&gt;    </t>
  </si>
  <si>
    <t>Envio OC sistema de Integracion</t>
  </si>
  <si>
    <t>Línea de Pedido de Material Cancelada</t>
  </si>
  <si>
    <t>Estimado Sr. &lt;nombusuario&gt;:&lt;br&gt;&lt;br&gt;Junto con saludarle, informamos a usted que una línea del siguiente Pedido de Material ha sido Cancelada. &lt;br&gt;&lt;br&gt;Nº Pedido:    &lt;numpm&gt;&lt;br&gt;Nombre Pedido:   &lt;nompm&gt;&lt;br&gt;Centro de Gestión:   &lt;nomborgc&gt;&lt;br&gt;Cancelado por:  &lt;nombaprobador&gt;&lt;br&gt;Código Producto:   &lt;cod&gt;&lt;br&gt;Cantidad:    &lt;cantidad&gt;&lt;br&gt;Descripción:   &lt;descripcion&gt;&lt;br&gt;Comentario:   &lt;motivocancelacion&gt; &lt;br&gt;&lt;br&gt;&lt;br&gt;Atentamente,&lt;br&gt;&lt;br&gt;Equipo iConstruye&lt;br&gt;&lt;link&gt;&lt;br&gt;Mesa de Ayuda&lt;br&gt;486 11 11&lt;br&gt;&lt;img src="http://cl.iconstruye.com/images/logo.jpg" /img&gt;</t>
  </si>
  <si>
    <t>Cancelación de Línea de Pedido de Material</t>
  </si>
  <si>
    <t>Orden de Compra Cancelada</t>
  </si>
  <si>
    <t>Estimado Sr.:&lt;br&gt;&lt;br&gt;Junto con saludarle, informamos a usted que el usuario(a) &lt;usuariocancela&gt; ha Cancelado la Orden de Compra Nº &lt;numoc&gt;, &lt;nomoc&gt;.&lt;br&gt;&lt;br&gt;Para más antecedentes, ingrese al módulo Compras. &lt;br&gt;&lt;br&gt;&lt;br&gt;Atentamente,&lt;br&gt;&lt;br&gt;Equipo iConstruye&lt;br&gt;&lt;link&gt;&lt;br&gt;Mesa de Ayuda&lt;br&gt;486 11 11&lt;br&gt;&lt;img src="http://cl.iconstruye.com/images/logo.jpg" /img&gt;</t>
  </si>
  <si>
    <t>Traspaso Por Recibir &lt;numtraspaso&gt;</t>
  </si>
  <si>
    <t>Estimado(a) Sr(a). &lt;nombusuario&gt;:&lt;br&gt;&lt;br&gt;Junto con saludarle, informamos a usted que tiene un nuevo Traspaso por Recibir:&lt;br&gt;&lt;br&gt;Usuario:     &lt;nombre de quien hace el traspaso&gt;&lt;br&gt;N° del Traspaso:    &lt;numtraspaso&gt;&lt;br&gt;N° del Documento:    &lt;numrespaldo&gt;&lt;br&gt;Centro de Gestión de origen:   &lt;nomorgc&gt;&lt;br&gt;Fecha del Traspaso:   &lt;fechaenvio&gt;&lt;br&gt;Centro de Gestión de destino:   &lt;nomorgcdestino&gt;&lt;br&gt;&lt;br&gt;Podrá Aceptar este traspaso ingresando al módulo Bodega, opción Traspasos por Recibir. En caso de requerir información adicional, comuníquese con nosotros al 486 11 11.&lt;br&gt;&lt;br&gt;&lt;br&gt;Atentamente,&lt;br&gt;&lt;br&gt;Equipo iConstruye&lt;br&gt;&lt;link&gt;&lt;br&gt;Mesa de Ayuda&lt;br&gt;486 11 11&lt;br&gt;&lt;img src="http://cl.iconstruye.com/images/logo.jpg" /img&gt;</t>
  </si>
  <si>
    <t>Notificacion de traspaso</t>
  </si>
  <si>
    <t>Nueva OC &lt;numoc&gt;</t>
  </si>
  <si>
    <t>Estimado Sres. &lt;nombreproveedor&gt;: &lt;br&gt;  &lt;br&gt;Junto con saludarle, le informamos que el &lt;fechaenvio&gt;, la empresa &lt;nombempresa&gt; le ha enviado la Orden de Compra número &lt;numoc&gt;. &lt;br&gt;  &lt;br&gt;Para Aceptarla o Rechazarla, ingrese a &lt;link&gt;&lt;br&gt;  &lt;br&gt; Atentamente, &lt;br&gt;  Equipo iConstruye</t>
  </si>
  <si>
    <t>Orden de Compra, Aviso</t>
  </si>
  <si>
    <t>Pedido de Materiales con Presupuesto Excedido</t>
  </si>
  <si>
    <t>Estimado Sr. &lt;nombusuario&gt;:&lt;br&gt;&lt;br&gt;Junto con saludarle, informamos a usted que se ha creado un Pedido de Material con presupuesto excedido. &lt;br&gt;&lt;br&gt;Nombre PM:    &lt;nompm&gt;&lt;br&gt;Centro de Gestión:&lt;nomorgc&gt;&lt;br&gt;Usuario creador del PM:   &lt;usuariopm&gt;&lt;br&gt;Fecha creación PM:&lt;fechacreacion&gt;&lt;br&gt;&lt;br&gt;Para ver el documento, visite nuestro m&amp;oacute;dulo de Pedido de Materiales. &lt;br /&gt;&lt;br&gt;&lt;br&gt;&lt;br&gt;Atentamente, &lt;br&gt;&lt;br&gt;Equipo iConstruye&lt;br&gt;&lt;link&gt; &lt;br&gt;Mesa de Ayuda&lt;br&gt;486 11 11&lt;br&gt;&lt;img src="http://cl.iconstruye.com/images/logo.jpg" /img&gt;</t>
  </si>
  <si>
    <t>Aprobación de Pedido de Equipos</t>
  </si>
  <si>
    <t>Estimado Sr. &lt;nombaprobador&gt;:&lt;br&gt;&lt;br&gt;Junto con saludarle, informamos a usted que tiene un nuevo Pedido de Equipos en espera de su Aprobación. &lt;br&gt;&lt;br&gt;Nº Pedido:    &lt;numpe&gt;&lt;br&gt;Nombre Pedido:   &lt;nompe&gt;&lt;br&gt;Centro de Gestión:   &lt;nomborgc&gt;&lt;br&gt;Fecha:    &lt;fechacreacion&gt;&lt;br&gt;Solicitante:    &lt;nombsolicitante&gt;&lt;br&gt;Para revisarlo, visite el módulo Pedido de Equipos.&lt;br&gt;&lt;br&gt;&lt;br&gt;Atentamente,&lt;br&gt;&lt;br&gt;Equipo iConstruye&lt;br&gt;&lt;link&gt;&lt;br&gt;Mesa de Ayuda&lt;br&gt;486 11 11&lt;br&gt;&lt;img src="http://cl.iconstruye.com/images/logo.jpg" /img&gt;</t>
  </si>
  <si>
    <t>Pedido de Equipos envío a Aprobación</t>
  </si>
  <si>
    <t>Aviso Vencimiento de &lt;TIPOGARANTIA&gt;</t>
  </si>
  <si>
    <t>Estimado Sr.(a) &lt;NOMBREUSUARIO&gt;: &lt;br&gt;&lt;br&gt;Junto con saludarle, le informamos a usted que para el siguiente subcontrato existe una garantía por expirar, los datos son: &lt;br&gt;&lt;br&gt;Centro de Gestión: &lt;NOMBREORGC&gt;&lt;br&gt;Nº del Subcontrato: &lt;NUMEROSUBCONTRATO&gt;&lt;br&gt;Nombre del Subcontrato: &lt;NOMBRESUBCONTRATO&gt;&lt;br&gt;Tipo de Garantía: &lt;TIPOGARANTIA&gt;&lt;br&gt;Tipo de Documento: &lt;TIPODOCUMENTO&gt;&lt;br&gt;Fecha de Vencimiento: &lt;FECHAVENCIMIENTO&gt;&lt;br&gt;&lt;br&gt;&lt;br&gt;Atentemente,&lt;br&gt;Equipo IConstruye&lt;br&gt;&lt;Link&gt;&lt;br&gt;Mesa de Ayuda&lt;br&gt;4861111</t>
  </si>
  <si>
    <t>Aviso de Vencimiento de Garantia</t>
  </si>
  <si>
    <t>Aviso Modificación Linea Convenio</t>
  </si>
  <si>
    <t>Estimado Sr. &lt;USRADMINCONVENIO&gt;:&lt;br&gt;&lt;br&gt;Junto con saludarle, informamos a usted que la empresa &lt;NOMBREPROVEEDOR&gt; ha realizado una modificación en el Convenio &lt;NOMBRECONVENIO&gt;,  para el producto &lt;CODIGOMAESTRO&gt; &lt;DESCRIPCION&gt;.&lt;br&gt; Para Aceptar o Rechazar esta modificación, ingrese a &lt;link&gt; &lt;br&gt;&lt;br&gt;Atentamente,&lt;br&gt;&lt;br&gt;Equipo iConstruye&lt;br&gt;&lt;link&gt;&lt;br&gt;Mesa de Ayuda&lt;br&gt;486 11 11&lt;br&gt;&lt;img src="http://cl.iconstruye.com/images/logo.jpg" /img&gt;</t>
  </si>
  <si>
    <t>Rechazo Modificación Linea Convenio</t>
  </si>
  <si>
    <t>Estimados Sr. &lt;USRPROVEEDOR&gt;:&lt;br&gt;&lt;br&gt;Junto con saludarle, informamos a usted que la empresa &lt;NOMBRECOMPRADOR&gt; No ha Aceptado la modificación del Convenio &lt;NOMBRECONVENIO&gt;,  para el producto &lt;CODIGOMAESTRO&gt; &lt;DESCRIPCION&gt;.&lt;br&gt;&lt;br&gt;Atentamente,&lt;br&gt;&lt;br&gt;Equipo iConstruye&lt;br&gt;&lt;link&gt;&lt;br&gt;Mesa de Ayuda&lt;br&gt;486 11 11&lt;br&gt;&lt;img src="http://cl.iconstruye.com/images/logo.jpg" /img&gt;</t>
  </si>
  <si>
    <t>Aprobación Modificación Linea Convenio</t>
  </si>
  <si>
    <t>Estimados Sr. &lt;USRPROVEEDOR&gt;:&lt;br&gt;&lt;br&gt;Junto con saludarle, informamos a usted que la empresa &lt;NOMBRECOMPRADOR&gt; aceptó la modificación del Convenio &lt;NOMBRECONVENIO&gt;,  para el producto &lt;CODIGOMAESTRO&gt; &lt;DESCRIPCION&gt;.&lt;br&gt;&lt;br&gt;Atentamente,&lt;br&gt;&lt;br&gt;Equipo iConstruye&lt;br&gt;&lt;link&gt;&lt;br&gt;Mesa de Ayuda&lt;br&gt;486 11 11&lt;br&gt;&lt;img src="http://cl.iconstruye.com/images/logo.jpg" /img&gt;</t>
  </si>
  <si>
    <t>Pedido de Material Cancelado</t>
  </si>
  <si>
    <t>Estimado Sr. &lt;nombusuario&gt;:&lt;br&gt;&lt;br&gt;Junto con saludarle, informamos a usted que el siguiente Pedido de Material ha sido Cancelado. &lt;br&gt;&lt;br&gt;Nº Pedido:    &lt;numpm&gt;&lt;br&gt;Nombre Pedido:   &lt;nompm&gt;&lt;br&gt;Centro de Gestión:   &lt;nomborgc&gt;&lt;br&gt;Fecha Cancelación:  &lt;fechacancelacion&gt;&lt;br&gt;Cancelado por:  &lt;nombaprobador&gt;&lt;br&gt;Comentario:   &lt;motivocancelacion&gt; &lt;br&gt;&lt;br&gt;&lt;br&gt;Atentamente,&lt;br&gt;&lt;br&gt;Equipo iConstruye&lt;br&gt;&lt;link&gt;&lt;br&gt;Mesa de Ayuda&lt;br&gt;486 11 11&lt;br&gt;&lt;img src="http://cl.iconstruye.com/images/logo.jpg" /img&gt;</t>
  </si>
  <si>
    <t>Cancelación de Pedido de Material</t>
  </si>
  <si>
    <t>Pedido de Equipos Rechazado</t>
  </si>
  <si>
    <t>Estimado Sr. &lt;nombsolicitante&gt;:&lt;br&gt;&lt;br&gt;Junto con saludarle, informamos a usted que el siguiente Pedido de Equipos ha sido Rechazado.&lt;br&gt;&lt;br&gt;Nº Pedido:    &lt;numpe&gt;&lt;br&gt;Nombre Pedido:  &lt;nompe&gt;&lt;br&gt;Centro de Gestión:   &lt;nomborgc&gt;&lt;br&gt;Fecha Rechazo:   &lt;fechaaprobacion&gt;&lt;br&gt;Rechazado por:  &lt;nombaprobador&gt;&lt;br&gt;Comentario:   &lt;Rechazo&gt;&lt;br&gt;&lt;br&gt;Para mayores antecedentes, ingrese al módulo Pedido de Equipos. &lt;br&gt;&lt;br&gt;&lt;br&gt;Atentamente,&lt;br&gt;&lt;br&gt;Equipo iConstruye&lt;br&gt;&lt;link&gt;&lt;br&gt;Mesa de Ayuda&lt;br&gt;486 11 11&lt;br&gt;&lt;img src="http://cl.iconstruye.com/images/logo.jpg" /img&gt;</t>
  </si>
  <si>
    <t>Pedido de Equipos Aprobado</t>
  </si>
  <si>
    <t>Estimado Sr. &lt;nombsolicitante&gt;:&lt;br&gt;&lt;br&gt;Junto con saludarle, informamos que el siguiente Pedido de Materiales generado por usted ha sido Aprobado.&lt;br&gt;&lt;br&gt;N° Pedido:   &lt;numpe&gt;&lt;br&gt;Nombre Pedido:  &lt;nompe&gt;&lt;br&gt;Centro de Gestión:  &lt;nomborgc&gt;&lt;br&gt;Fecha Aprobación:  &lt;fechaaprobacion&gt;&lt;br&gt;Aprobador:   &lt;nombaprobador&gt;&lt;br&gt;&lt;br&gt;&lt;br&gt;Atentamente,&lt;br&gt;&lt;br&gt;Equipo iConstruye&lt;br&gt;&lt;link&gt;&lt;br&gt;Mesa de Ayuda&lt;br&gt;486 11 11&lt;br&gt;&lt;img src="http://cl.iconstruye.com/images/logo.jpg" /img&gt;</t>
  </si>
  <si>
    <t>Pedido de Equipos Aprobador Añadido</t>
  </si>
  <si>
    <t>Estimado Sr. &lt;nombaprobador&gt;:&lt;br&gt;&lt;br&gt;Junto con saludarle, informamos a usted que tiene un nuevo Pedido de Materiales en espera de su Aprobación. &lt;br&gt;&lt;br&gt;Nº Pedido:    &lt;numpe&gt;&lt;br&gt;Nombre Pedido:   &lt;nompe&gt;&lt;br&gt;Centro de Gestión:   &lt;nomborgc&gt;&lt;br&gt;Fecha:    &lt;fechacreacion&gt;&lt;br&gt;Solicitante:    &lt;nombsolicitante&gt;&lt;br&gt;Tipo de Aprobación:  Aprobador agregado al flujo. &lt;br&gt;&lt;br&gt;&lt;br&gt;Para revisarlo, visite el módulo Pedido de Equipos.&lt;br&gt;&lt;br&gt;&lt;br&gt;Atentamente,&lt;br&gt;&lt;br&gt;Equipo iConstruye&lt;br&gt;&lt;link&gt;&lt;br&gt;Mesa de Ayuda&lt;br&gt;486 11 11&lt;br&gt;&lt;img src="http://cl.iconstruye.com/images/logo.jpg" /img&gt;</t>
  </si>
  <si>
    <t>Línea de Pedido de Equipos Rechazada</t>
  </si>
  <si>
    <t>Estimado Sr. &lt;nombsolicitante&gt;:  &lt;br&gt; Junto con saludarle, le informamos que el Sr. &lt;nombaprobador&gt;  ha eliminado una línea del Pedido de Equipos solicitado por Ud. &lt;br&gt;  &lt;br&gt;  No. Pedido: &lt;numpe&gt;  &lt;br&gt;  Nombre Pedido: &lt;nompe&gt; &lt;br&gt;  Organización: &lt;nomborgc&gt; &lt;br&gt;  Fecha Rechazo: &lt;fechacreacion&gt; &lt;br&gt;  Código Prod: &lt;cod&gt; &lt;br&gt;  Cantidad : &lt;cantidad&gt; &lt;br&gt;  Descripción:&lt;descripcion&gt; &lt;br&gt;  Glosa:&lt;glosa&gt; &lt;br&gt;  &lt;br&gt;  Atentamente,&lt;br&gt;&lt;br&gt;Equipo iConstruye&lt;br&gt;&lt;link&gt;&lt;br&gt;Mesa de Ayuda&lt;br&gt;486 11 11&lt;br&gt;&lt;img src="http://cl.iconstruye.com/images/logo.jpg" /img&gt;</t>
  </si>
  <si>
    <t>Asignación de Pedido de Equipos</t>
  </si>
  <si>
    <t>Estimado Sr. &lt;nombusuario&gt;:&lt;br&gt;&lt;br&gt;Junto con saludarle, informamos a usted que se le ha sido Asignado un nuevo Pedido de Equipos.&lt;br&gt;&lt;br&gt;N° Pedido:    &lt;numpe&gt;/&lt;numlineape&gt;&lt;br&gt;Nombre Pedido:   &lt;nompe&gt;&lt;br&gt;Centro de Gestión:  &lt;nomborgc&gt;&lt;br&gt;Fecha:    &lt;fechacreacion&gt;&lt;br&gt;Solicitante:    &lt;nombsolicitante&gt;&lt;br&gt;&lt;br&gt;Para revisarlo, visite el módulo Pedido de Equipos.&lt;br&gt;&lt;br&gt;&lt;br&gt;Atentamente,&lt;br&gt;&lt;br&gt;Equipo iConstruye&lt;br&gt;&lt;link&gt;&lt;br&gt;Mesa de Ayuda&lt;br&gt;486 11 11&lt;br&gt;&lt;img src="http://cl.iconstruye.com/images/logo.jpg" /img&gt;</t>
  </si>
  <si>
    <t>Línea de Pedido de Equipos Cancelada</t>
  </si>
  <si>
    <t>Estimado Sr.:&lt;br&gt;&lt;br&gt;Junto con saludarle, informamos a usted que una línea del siguiente Pedido de Equipo ha sido Cancelada. &lt;br&gt;&lt;br&gt;Nº Pedido:    &lt;numpe&gt;/&lt;numlineape&gt;&lt;br&gt;Nombre Pedido:   &lt;nompe&gt;&lt;br&gt;Centro de Gestión:   &lt;nomborgc&gt;&lt;br&gt;Fecha Cancelación:  &lt;fechacreacion&gt;&lt;br&gt;Cancelado por:  &lt;nombaprobador&gt;&lt;br&gt;Código Producto:   &lt;cod&gt;&lt;br&gt;Cantidad:    &lt;cantidad&gt;&lt;br&gt;Descripción:   &lt;descripcion&gt;&lt;br&gt;Comentario:   &lt;Agregar aquí el motivo de la cancelación&gt; &lt;br&gt;&lt;br&gt;&lt;br&gt;Atentamente,&lt;br&gt;&lt;br&gt;Equipo iConstruye&lt;br&gt;&lt;link&gt;&lt;br&gt;Mesa de Ayuda&lt;br&gt;486 11 11&lt;br&gt;&lt;img src="http://cl.iconstruye.com/images/logo.jpg" /img&gt;</t>
  </si>
  <si>
    <t>Pedido de Equipos en Lista de Administración</t>
  </si>
  <si>
    <t>Estimado Sr. &lt;nombaprobador&gt;: &lt;br&gt;  &lt;br&gt;  Tiene un nuevo Pedido de Equipos esperando en su Lista de Administración. &lt;br&gt;  &lt;br&gt;  No. Pedido : &lt;numpm&gt;  &lt;br&gt;  Nombre Pedido : &lt;nompm&gt; &lt;br&gt;  Organización : &lt;nomborgc&gt; &lt;br&gt;  Fecha: &lt;fechacreacion&gt; &lt;br&gt;  &lt;br&gt;  Solicitante: &lt;nombsolicitante&gt; &lt;br&gt;  &lt;br&gt;  Para verlo, visite nuestro módulo de Pedido de Equipos. &lt;br&gt;  &lt;br&gt;   &lt;br&gt;  Atentamente, &lt;br&gt;  &lt;br&gt;  Iconstruye &lt;br&gt;  Mi brazo derecho &lt;br&gt;  &lt;link&gt;  &lt;br&gt;</t>
  </si>
  <si>
    <t>Pedido Equipos, Notifica Super Administrador</t>
  </si>
  <si>
    <t>Verificación Archivo Excel Carga Presupuesto</t>
  </si>
  <si>
    <t>Estimado Sr. &lt;nombusuario&gt;:&lt;br&gt;&lt;br&gt;El proceso de verificación de la planilla a cargar &lt;NOMBREPLANILLA&gt; contiene los siguientes recursos que no se encuentran en el maestro de materiales del centro de gestión &lt;CENTROGESTION&gt;:&lt;br&gt;&lt;br&gt;&lt;RECURSOS&gt;&lt;br&gt;&lt;br&gt;Para poder realizar la carga de su presupuesto deberá revisar los recursos informados y solicitar la creación si corresponde.&lt;br&gt;&lt;br&gt;&lt;br&gt;Atentamente, &lt;br&gt;&lt;br&gt;Equipo iConstruye&lt;br&gt;&lt;link&gt; &lt;br&gt;Mesa de Ayuda&lt;br&gt;486 11 11&lt;br&gt;&lt;img src="http://cl.iconstruye.com/images/logo.jpg" /img&gt;</t>
  </si>
  <si>
    <t>Presupuesto, Error Carga planilla</t>
  </si>
  <si>
    <t>Aviso Orden Despacho</t>
  </si>
  <si>
    <t>Estimado Sr. &lt;nombusuario&gt;:&lt;br&gt;&lt;br&gt;Junto con saludarle, informamos a usted que tiene una nueva Orden de Despacho:&lt;br&gt;&lt;br&gt;Usuario: &lt;nombreusuarioorigen&gt;&lt;br&gt;Centro de Gestión de origen: &lt;nomorgc&gt;&lt;br&gt;Fecha Solicitud Despacho:   &lt;fechaenvio&gt;&lt;br&gt;Centro de Gestión de destino:	&lt;nomorgcdestino&gt;&lt;br&gt;&lt;br&gt;Podrá generar el Despacho ingresando al módulo Bodega, opción Salida/Despachos Pendientes. En caso de requerir información adicional, comuníquese con nosotros al 486 11 11.&lt;br&gt;&lt;br&gt;&lt;br&gt;Atentamente,&lt;br&gt;&lt;br&gt;Equipo iConstruye&lt;br&gt;&lt;link&gt;&lt;br&gt;Mesa de Ayuda&lt;br&gt;486 11 11&lt;br&gt;&lt;img src="http://cl.iconstruye.com/images/logo.jpg" /img&gt;</t>
  </si>
  <si>
    <t>Estimado(a) Sr(a).:&lt;br&gt;&lt;br&gt;Junto con saludarle, informamos que el siguiente Subcontrato se encuentra ingresado en iconstruye, y disponible para ser impreso.&lt;br&gt;&lt;br&gt;Nº Subcontrato:   &lt;numsc&gt;&lt;br&gt;Nombre:   &lt;nomsc&gt; &lt;br&gt;Centro de Gestión:   &lt;nomborgc&gt;&lt;br&gt;Fecha Solicitud:   &lt;fechacreacion&gt;&lt;br&gt;&lt;br&gt;&lt;br&gt;Atentamente,&lt;br&gt;&lt;br&gt;Equipo iConstruye &lt;br&gt;&lt;link&gt;&lt;br&gt;Mesa de Ayuda&lt;br&gt;486 11 11&lt;br&gt;&lt;img src="http://cl.iconstruye.com/images/logo.jpg" /img&gt;</t>
  </si>
  <si>
    <t>Subcontrato, Receptor Mensajeria</t>
  </si>
  <si>
    <t>B2BSalfa</t>
  </si>
  <si>
    <t xml:space="preserve"> NUEVA OC  SALFA - &lt;numoc&gt;</t>
  </si>
  <si>
    <t>Estimado Sr. &lt;nombusuario&gt;:&lt;br&gt;&lt;br&gt;Junto con saludarle, informamos que el &lt;fechaenvio&gt; SALFA le ha enviado la Orden de Compra Nº &lt;numoc&gt;.&lt;br&gt;&lt;br&gt;A nombre de Don Andrés Delpiano, Gerente de Abastecimiento de SALFA, le solicitamos Aceptar esta OC, en el menor tiempo posible, en &lt;link&gt; o desde su dispositivo móvil en &lt;link2&gt;.&lt;br&gt;&lt;br&gt;En caso de rechazo, SALFA necesita que indique claramente en los comentarios las razones de esta decisión.&lt;br&gt;&lt;br&gt;En caso de cualquier duda o consulta póngase en contacto con nuestra Mesa de Activación de OC en IConstruye al fono 4861220 o por mail b2bsalfa@iconstruye.com&lt;br&gt;&lt;br&gt;Atentamente,&lt;br&gt;&lt;br&gt;Servicio Activación de OC&lt;br&gt;B2B SALFA IConstruye&lt;br&gt;&lt;img height="28px" width="124px" src="http://cl.iconstruye.com/images/logo.jpg" /img&gt;&amp;nbsp;&amp;nbsp;&amp;nbsp;&lt;img height="28px" width="124px" src="http://cl.iconstruye.com/images/logo_salfa.jpg" /img&gt;</t>
  </si>
  <si>
    <t>Orden de Compra, Aviso Proveedor (Sólo SALFA)</t>
  </si>
  <si>
    <t>Solicitud VºBº Ajuste de Factura</t>
  </si>
  <si>
    <t>Estimado Sr. &lt;NombreDestino&gt;:&lt;br&gt;&lt;br&gt;Junto con saludarle, informamos a usted que tiene una nueva Factura a la espera de su V°B° de ajustes.&lt;br&gt;&lt;br&gt;Solicitante: &lt;NombreSolicitante&gt;&lt;br&gt;N° de Factura: &lt;Numfactura&gt;&lt;br&gt;Centro de Gestión: &lt;nomorgc&gt;&lt;br&gt;Fecha Envío: &lt;fechaenvio&gt;&lt;br&gt;&lt;br&gt;Atentamente,&lt;br&gt;&lt;br&gt;Equipo iConstruye&lt;br /&gt;&lt;link&gt;&lt;br&gt;Mesa de Ayuda&lt;br&gt;486 11 11&lt;br&gt;&lt;img src="http://cl.iconstruye.com/images/logo.jpg" /img&gt;</t>
  </si>
  <si>
    <t>Solicitud VºBº Ajuste Factura</t>
  </si>
  <si>
    <t>Mail Unitario Proveedor IR</t>
  </si>
  <si>
    <t>Estimados Srs:   &lt;br&gt;  &lt;b&gt;&lt;USRPROVEEDOR&gt;&lt;/b&gt;  &lt;br&gt;&lt;br&gt;  &lt;p&gt;  La empresa &lt;b&gt;&lt;Nombre_Empresa_C&gt;&lt;/b&gt; ha enviado el siguiente mensaje, a través del Registro de Proveedores de iConstruye:  &lt;/p&gt;  &lt;br&gt;  &lt;p&gt;&lt;Mensaje&gt;&lt;/p&gt;  &lt;br&gt;  Cualquier consulta asociada al contenido de este mensaje, debe ser gestionado con la empresa que lo emite.  &lt;br&gt;&lt;br&gt;  Atentamente,  &lt;br&gt;&lt;br&gt;  Equipo iConstruye  &lt;br&gt;  &lt;link&gt;  &lt;br&gt;  Mesa de Ayuda  &lt;br&gt;  486 11 11  &lt;br&gt;  &lt;img src="http://cl.iconstruye.com/images/logo.jpg" /img&gt;</t>
  </si>
  <si>
    <t>Mail Grupo Proveedor IR</t>
  </si>
  <si>
    <t>Aviso de Vencimiento de Archivo en IRegistro</t>
  </si>
  <si>
    <t>Estimados Srs:   &lt;br&gt;  &lt;b&gt;&lt;USRPROVEEDOR&gt;&lt;/b&gt;  &lt;br&gt;&lt;br&gt;  &lt;p&gt;  El Registro de Proveedores de iConstruye informa que el archivo &lt;b&gt;&lt;Nombre_Archivo&gt;&lt;/b&gt;    ubicado en &lt;b&gt;&lt;NombreCarpeta&gt;&lt;/b&gt;,   creada por  la empresa &lt;b&gt;&lt;Nombre_Empresa_duena_Carpeta&gt;&lt;/b&gt;,   vencerá el día &lt;b&gt;&lt;FECHA_VENCIMIENTO&gt;&lt;/b&gt;,   por lo cual solicitamos gestionar una nueva versión del mismo, si es que corresponde.  &lt;/p&gt;  &lt;br&gt;&lt;br&gt;  Atentamente,  &lt;br&gt;&lt;br&gt;  Equipo iConstruye  &lt;br&gt;  &lt;link&gt;  &lt;br&gt;  Mesa de Ayuda  &lt;br&gt;  486 11 11  &lt;br&gt;  &lt;img src="http://cl.iconstruye.com/images/logo.jpg" /img&gt;</t>
  </si>
  <si>
    <t>Mail Vencimiento Archivo IR</t>
  </si>
  <si>
    <t>Aviso de Creación de Material</t>
  </si>
  <si>
    <t>&lt;div style="width:600px;"&gt;&lt;p style="font-family:Arial; font-size:12px; text-align:left;"&gt;&lt;b&gt;Estimado Sr(a). 	&lt;usuariosolicitante&gt;&lt;/b&gt;&lt;br/&gt;&lt;br/&gt;La solicitud de creación de código enviada el día &lt;fechaenvio&gt;, del centro de gestión &lt;nomorgc&gt; a sido aprobada por el usuario &lt;nomusuarioatiende&gt;.&lt;b&gt;&lt;br/&gt;&lt;br/&gt;&lt;br/&gt;MATERIAL SOLICITADO		&lt;/b&gt;&lt;table style="font-family:Arial; font-size:12px; text-align:left;" border="0"&gt;&lt;tr&gt;&lt;td&gt;Descripción:&lt;/td&gt;&lt;td&gt;&lt;descripcion1&gt;&lt;/td&gt;&lt;tr&gt;&lt;td&gt;Unidad: &lt;/td&gt;&lt;td&gt;&lt;unidad1&gt;&lt;/td&gt;&lt;/tr&gt;&lt;/table&gt;&lt;br/&gt;&lt;b&gt;MATERIAL CREADO&lt;/b&gt;&lt;table style="font-family:Arial; font-size:12px; text-align:left;" border="0"&gt;&lt;tr&gt;&lt;td&gt;Código: &lt;/td&gt;&lt;td&gt;&lt;codigo2&gt;&lt;/td&gt;&lt;tr&gt;&lt;td&gt;Descripción: &lt;/td&gt;&lt;td&gt;&lt;descripcion2&gt;&lt;/td&gt;&lt;tr&gt;&lt;td&gt;Unidad: &lt;/td&gt;&lt;td&gt;&lt;unidad2&gt;&lt;/td&gt;&lt;/tr&gt;&lt;tr&gt;&lt;td&gt;Estado: &lt;/td&gt;&lt;td&gt;&lt;estadomaterial&gt;&lt;/td&gt;&lt;/tr&gt;&lt;/table&gt;&lt;br/&gt;&lt;br/&gt;&lt;br&gt;&lt;br&gt;Atte,&lt;br&gt;IConstruye S.A.	&lt;br&gt;&lt;/p&gt;&lt;/div&gt;</t>
  </si>
  <si>
    <t>Se envia cuando se crea los materiales solicitados y que estan pendientes</t>
  </si>
  <si>
    <t>Nuevo Documento IR</t>
  </si>
  <si>
    <t>Estimados Srs:&lt;br&gt;&lt;br&gt;&lt;p&gt;  El Registro de Proveedores de iConstruye informa que se ha agregado el archivo &lt;b&gt;&lt;Nombre_Archivo&gt;&lt;/b&gt; a la carpeta &lt;b&gt;&lt;NombreCarpeta&gt;&lt;/b&gt;, creada por la empresa &lt;b&gt;&lt;Nombre_Empresa_duena_Carpeta&gt;&lt;/b&gt;, quedando disponible para su revisión.&lt;/p&gt;&lt;br&gt;&lt;br&gt;Atentamente,&lt;br&gt;&lt;br&gt;Equipo iConstruye&lt;br&gt;&lt;link&gt;&lt;br&gt;Mesa de Ayuda&lt;br&gt;486 11 11&lt;br&gt;&lt;img src="http://cl.iconstruye.com/images/logo.jpg" /img&gt;</t>
  </si>
  <si>
    <t>Mail aviso nuevo documento agregado</t>
  </si>
  <si>
    <t>Eliminación Documento IR</t>
  </si>
  <si>
    <t>Estimados Srs:&lt;br&gt;&lt;br&gt;&lt;p&gt;  El Registro de Proveedores de iConstruye informa que se ha eliminado el archivo &lt;b&gt;&lt;Nombre_Archivo&gt;&lt;/b&gt; de la carpeta &lt;b&gt;&lt;NombreCarpeta&gt;&lt;/b&gt;, creada por la empresa &lt;b&gt;&lt;Nombre_Empresa_duena_Carpeta&gt;&lt;/b&gt;, por lo cual no estará disponible nuevamente.&lt;/p&gt;&lt;br&gt;&lt;br&gt;Atentamente,&lt;br&gt;&lt;br&gt;Equipo iConstruye&lt;br&gt;&lt;link&gt;&lt;br&gt;Mesa de Ayuda&lt;br&gt;486 11 11&lt;br&gt;&lt;img src="http://cl.iconstruye.com/images/logo.jpg" /img&gt;</t>
  </si>
  <si>
    <t>Estado de Pago Cancelado</t>
  </si>
  <si>
    <t>Estimado Sr. &lt;nombsolicitante&gt;:&lt;br&gt;&lt;br&gt;Junto con saludarle, informamos que el siguiente Estado de Pago  ha sido Cancelado. &lt;br&gt;&lt;br&gt;N° Estado Pago:  &lt;numep&gt; &lt;br&gt;Tipo Estado Pago:            &lt;DesTipoDoc&gt;&lt;br&gt;Centro de Gestión:   &lt;nomborgc&gt; &lt;br&gt;Fecha ingreso:  &lt;fechacreacion&gt;.&lt;br&gt;Comentario:   &lt;Cancelado&gt;&lt;br&gt;Subcontrato:                    &lt;nomsubcontrato&gt;&lt;br&gt;N°:                                  &lt;numsubcontrato&gt; &lt;br&gt;&lt;br&gt;&lt;br&gt;Atentamente,&lt;br&gt;&lt;br&gt;Equipo iConstruye&lt;br&gt;&lt;link&gt;&lt;br&gt;Mesa de Ayuda&lt;br&gt;486 11 11&lt;br&gt;&lt;img src="http://cl.iconstruye.com/images/logo.jpg" /img&gt;</t>
  </si>
  <si>
    <t>Estado Pago, Notificación Cancelado</t>
  </si>
  <si>
    <t>&lt;nombsitio&gt; le recuerda su contraseña</t>
  </si>
  <si>
    <t>Estimado Sr. &lt;nombusuario&gt;:&lt;br&gt;&lt;br&gt;Junto con saludarle, le recordamos que que sus datos de acceso a nuestro sistema son:&lt;br&gt;&lt;br&gt;Usuario:  &lt;idusuario&gt;&lt;br&gt;Organización:  &lt;nombempresa&gt;&lt;br&gt;Clave:   &lt;clave&gt;&lt;br&gt;&lt;br&gt;En caso de requerir información adicional, comuníquese con nosotros al &lt;fonocontacto&gt;. &lt;br&gt;&lt;br&gt;&lt;br&gt;Atentamente, &lt;br&gt;&lt;br&gt;Equipo &lt;nombsitio&gt;&lt;br&gt;&lt;link&gt; &lt;br&gt;Mesa de Ayuda&lt;fonocontacto&gt;&lt;br&gt;&lt;br&gt;&lt;img src="http://cl.iconstruye.com/images/logo.jpg" /img&gt;</t>
  </si>
  <si>
    <t>Usuario Contraseña</t>
  </si>
  <si>
    <t>&lt;!DOCTYPE html PUBLIC "-//W3C//DTD XHTML 1.0 Transitional//EN" "http://www.w3.org/TR/xhtml1/DTD/xhtml1-transitional.dtd"&gt;&lt;html xmlns="http://www.w3.org/1999/xhtml"&gt;&lt;head&gt;&lt;meta name="viewport" content="width=device-width" /&gt;&lt;meta http-equiv="Content-Type" content="text/html; charset=UTF-8" /&gt;&lt;title&gt;ICONSTRUYE&lt;/title&gt;&lt;style type="text/css"&gt;* {margin: 0;font-family: "Helvetica Neue", Helvetica, Arial, sans-serif;box-sizing: border-box;font-size: 14px;}img {max-width: 100%;}body {-webkit-font-smoothing: antialiased;-webkit-text-size-adjust: none;width: 100% !important;height: 100%;line-height: 1.6em;}table td {vertical-align: top;}body {background-color: #f6f6f6;}.body-wrap {background-color: #f6f6f6;width: 100%;}.container {display: block !important;max-width: 600px !important;margin: 0 auto !important;clear: both !important;}.content {max-width: 600px;margin: 0 auto;display: block;padding: 20px;}.main {background-color: #fff;border: 1px solid #e9e9e9;border-radius: 3px;}.content-wrap {padding: 20px;}.content-block {padding: 0 0 20px;}.header {width: 100%;margin-bottom: 20px;}.footer {width: 100%;clear: both;color: #999;padding: 20px;}.footer p, .footer a, .footer td {color: #999;font-size: 12px;}.resume-box {background: #EBF6FF;}h1, h2, h3 {font-family: "Helvetica Neue", Helvetica, Arial, "Lucida Grande", sans-serif;color: #000;margin: 20px 0 0;line-height: 1.2em;font-weight: 400;}h1 {font-size: 20px;font-weight: 500;}h2 {font-size: 24px;}h3 {font-size: 18px;}h4 {font-size: 14px;font-weight: 600;}p, ul, ol {margin-bottom: 10px;font-weight: normal;}p li, ul li, ol li {margin-left: 5px;list-style-position: inside;line-height: 1.3em;}a {color: #348eda;text-decoration: underline;}.btn-primary {text-decoration: none;color: #FFF;background-color: #0284d3;padding: 10px 20px;line-height: 2em;font-weight: 400;font-size: 1.1em;text-align: center;cursor: pointer;display: inline-block;border-radius: 5px;text-transform: capitalize;}.last {margin-bottom: 0;}.first {margin-top: 0;}.aligncenter {text-align: center;}.alignright {text-align: right;}.alignleft {text-align: left;}.clear {clear: both;}.alert {font-size: 16px;color: #fff;font-weight: 500;padding: 20px;text-align: center;border-radius: 3px 3px 0 0;}.alert a {color: #fff;text-decoration: none;font-weight: 500;font-size: 16px;}.alert.alert-warning {background-color: #FF9F00;}.alert.alert-bad {background-color: #D0021B;}.alert.alert-good {background-color: #68B90F;}.invoice {margin: 40px auto;text-align: left;width: 80%;}.invoice td {padding: 5px 0;}.invoice .invoice-items {width: 100%;}.invoice .invoice-items td {border-top: #eee 1px solid;}.invoice .invoice-items .total td {border-top: 2px solid #333;border-bottom: 2px solid #333;font-weight: 700;}@media only screen and (max-width: 640px) {body {  padding: 0 !important;}h1, h2, h3, h4 {  font-weight: 800 !important;  margin: 20px 0 5px !important;}h1 {  font-size: 22px !important;}h2 {  font-size: 18px !important;}h3 {  font-size: 16px !important;}.container {  padding: 0 !important;  width: 100% !important;}.content {  padding: 0 !important;}.content-wrap {  padding: 10px !important;}.invoice {  width: 100% !important;}.mcnImage {max-width:100% !important;width:100% !important;}}&lt;/style&gt;&lt;/head&gt;&lt;body itemscope itemtype="http://schema.org/EmailMessage"&gt;&lt;table class="body-wrap"&gt;&lt;tr&gt;&lt;td&gt;&lt;/td&gt;&lt;td class="container" width="600"&gt;&lt;table class="main" width="100%" cellpadding="0" cellspacing="0"&gt;&lt;tr&gt;&lt;td&gt;&lt;table class="main" width="100%" cellpadding="0" cellspacing="0"&gt;&lt;tr&gt;&lt;td valign="top"&gt;&lt;img align="center" alt="" src="https://cl.iconstruye.com/images/banner-generico.jpg" width="600" class="mcnImage"&gt;&lt;/td&gt;&lt;/tr&gt;&lt;/table&gt;&lt;div class="content-wrap"&gt;&lt;table width="100%" cellpadding="0" cellspacing="0"&gt;&lt;tr&gt;&lt;td class="content-block"&gt;&lt;h1&gt;Has recibido una nueva Orden de compra.&lt;/h1&gt;&lt;/td&gt;&lt;/tr&gt;&lt;tr&gt;&lt;td class="content-block"&gt;&lt;p&gt;Hola &lt;strong&gt;&lt;nombusuario&gt;&lt;/strong&gt;,&lt;br&gt;Junto con saludar le informamos que el &lt;fechaenvio&gt;, la empresa &lt;strong&gt; &lt;nombempresa&gt;&lt;/strong&gt; enviado a usted la Orden de Compra número &lt;strong&gt;&lt;numoc&gt;&lt;/strong&gt;.&lt;br&gt;&lt;br&gt;Recuerde siempre Aceptar o Rechazar este documento desde &lt;a href="https://www.iconstruye.com"&gt;iconstruye.com&lt;/a&gt;&lt;/p&gt;&lt;/td&gt;&lt;/tr&gt;&lt;/table&gt;&lt;/div&gt;&lt;table width="100%" cellspacing="0" cellpadding="0" class="resume-box"&gt;&lt;tr&gt;&lt;td&gt;&lt;div class="content-wrap"&gt;&lt;table&gt;&lt;tr&gt;&lt;td class="content-block"&gt;&lt;h3&gt;Conoce las otras soluciones que tenemos para ti&lt;/h3&gt;&lt;/td&gt;&lt;/tr&gt;&lt;tr&gt;&lt;td class="content-block"&gt;&lt;p&gt;Con &lt;strong&gt;Rinde Ágil, &lt;/strong&gt;rinde tus gastos en cuestión de segundos. No más respaldos en papeles, digitaliza cada paso de la rendición de gastos de tu empresa.&lt;/p&gt;&lt;/td&gt;&lt;/tr&gt;&lt;tr&gt;&lt;td class="content-block aligncenter"&gt;&lt;span class="hs-cta-wrapper" id="hs-cta-wrapper-a826c11a-e3aa-46df-84a5-e53b35388aa9"&gt;&lt;span class="hs-cta-node hs-cta-a826c11a-e3aa-46df-84a5-e53b35388aa9" id="hs-cta-a826c11a-e3aa-46df-84a5-e53b35388aa9"&gt;&lt;a href="https://cta-redirect.hubspot.com/cta/redirect/5032552/a826c11a-e3aa-46df-84a5-e53b35388aa9"  target="_blank" &gt;&lt;img class="hs-cta-img" id="hs-cta-img-a826c11a-e3aa-46df-84a5-e53b35388aa9" style="border-width:0px;" src="https://no-cache.hubspot.com/cta/default/5032552/a826c11a-e3aa-46df-84a5-e53b35388aa9.png"  alt="SOLICITA TU PRUEBA GRATIS AQUÍ"/&gt;&lt;/a&gt;&lt;/span&gt;&lt;script charset="utf-8" src="https://js.hscta.net/cta/current.js"&gt;&lt;/script&gt;&lt;script type="text/javascript"&gt; hbspt.cta.load(5032552,'a826c11a-e3aa-46df-84a5-e53b35388aa9', {}); &lt;/script&gt;&lt;/span&gt;&lt;/td&gt;&lt;/tr&gt;&lt;/table&gt;&lt;/div&gt;&lt;/td&gt;&lt;/tr&gt;&lt;/table&gt;&lt;div class="content-wrap"&gt;&lt;table width="100%" cellspacing="0" cellpadding="0"&gt;&lt;tr&gt;&lt;td class="content-block"&gt;&lt;p&gt;Saludos &lt;br&gt;&lt;strong&gt;Equipo ICONSTRUYE&lt;/strong&gt;&lt;/p&gt;&lt;/td&gt;&lt;/tr&gt;&lt;/table&gt;&lt;/div&gt;&lt;/td&gt;&lt;/tr&gt;&lt;/table&gt;&lt;div class="footer"&gt;&lt;table width="100%"&gt;&lt;tr&gt;&lt;td class="aligncenter content-block"&gt;¿Necesitas ayuda con este correo? &lt;a href="mailto:"&gt;mesadeayuda@iconstruye.com&lt;/a&gt;&lt;/td&gt;&lt;/tr&gt;&lt;tr&gt;&lt;td class="aligncenter content-block"&gt;&lt;em&gt;Correo enviado a través de ICONSTRUYE®&amp;nbsp; Copyright © -Todos los Derechos Reservados&lt;/em&gt;&lt;br&gt;&lt;p&gt;&lt;span style="font-size: 12px;"&gt;&lt;a href="[unsubscribe]" style="color:#999;"&gt;Si deseas salir del env&amp;iacute;o de emails de iConstruye haz click aqu&amp;iacute;&lt;/a&gt;&lt;/span&gt;&lt;/p&gt;&lt;/td&gt;&lt;/tr&gt;&lt;/table&gt;&lt;/div&gt;&lt;/td&gt;&lt;td&gt;&lt;/td&gt;&lt;/tr&gt;&lt;/table&gt;&lt;/body&gt;&lt;/html&gt;</t>
  </si>
  <si>
    <t>Aprobación de OC &lt;numoc&gt;</t>
  </si>
  <si>
    <t>Estimado Sr. &lt;nombusuario&gt;:&lt;br&gt;&lt;br&gt;Junto con saludarle, informamos a usted que tiene una nueva Orden de Compra pendiente de Aprobar.&lt;br&gt;&lt;br&gt;Solicitante:    &lt;nombsolicitante&gt;&lt;br&gt;N° de OC:    &lt;numoc&gt;&lt;br&gt;Nombre OC:    &lt;nomoc&gt;&lt;br&gt;Centro de Gestión:   &lt;nomorgc&gt;&lt;br&gt;Fecha Creación:   &lt;fechacreacion&gt;&lt;br&gt;Tipo de Aprobación:  OC Supera el gasto del comprador&lt;br&gt;Monto a Aprobar: &lt;montoaprobar&gt;&lt;br&gt;&lt;br&gt;Podrá Aprobar este documento ya sea desde &lt;link&gt; o bien ingresando desde su dispositivo móvil a  &lt;a href="http://mobile.iconstruye.com" target="_blank"&gt;mobile.iconstruye.com&lt;/a&gt;&lt;br&gt;&lt;br&gt;&lt;br&gt;Atentamente,&lt;br&gt;&lt;br&gt;Equipo iConstruye&lt;br&gt;&lt;link&gt; &lt;br&gt;Mesa de Ayuda&lt;br&gt;+56 22 486 11 11&lt;br&gt;&lt;img src="http://cl.iconstruye.com/images/logo.jpg" /img&gt;</t>
  </si>
  <si>
    <t>Orden de Compra, Envío a Aprobación</t>
  </si>
  <si>
    <t>Aprobación de OC &lt;numoc&gt; (Aprobador Agregado a Flujo)</t>
  </si>
  <si>
    <t>&lt;div id="header"&gt; &lt;/div&gt; &lt;div id="body"&gt; Estimado Sr. &lt;nombusuario&gt;:&lt;br&gt;&lt;br&gt;Junto con saludarle, informamos a usted que ha sido invitado a participar en el flujo de aprobación de una Orden de Compra. &lt;br&gt;&lt;br&gt;Solicitante:    &lt;nombsolicitante&gt;&lt;br&gt;Nº de OC:    &lt;numoc&gt;&lt;br&gt;Nombre OC:    &lt;nomoc&gt;&lt;br&gt;Centro de Gestión:   &lt;nomorgc&gt;&lt;br&gt;Fecha Creación:   &lt;fechacreacion&gt;&lt;br&gt;Tipo de Aprobación:  Aprobador agregado al flujo.&lt;br&gt;&lt;br&gt;Podrá Aprobar este documento ya sea desde &lt;link&gt; o bien ingresando desde su dispositivo móvil a &lt;link2&gt;&lt;br&gt;&lt;br&gt;&lt;br&gt;Atentamente,  &lt;/div&gt; &lt;div id="footer"&gt; &lt;br&gt;&lt;br&gt;Equipo iConstruye&lt;br&gt;&lt;link&gt; &lt;br&gt;Mesa de Ayuda&lt;br&gt;486 11 11&lt;br&gt;&lt;img src="http://cl.iconstruye.com/images/logo.jpg" /img&gt; &lt;/div&gt;</t>
  </si>
  <si>
    <t>Orden de Compra, Envío a Aprobación Añadido</t>
  </si>
  <si>
    <t>Orden de Compra  aprobada</t>
  </si>
  <si>
    <t>Estimado Sr. &lt;nombsolicitante&gt;:&lt;br&gt;&lt;br&gt;Junto con saludarle, le informamos que la siguiente Solicitud de Compra generada por usted ha sido Aprobada y enviada al proveedor. &lt;br&gt;&lt;br&gt;N° de OC:    &lt;numoc&gt;&lt;br&gt;Nombre OC:   &lt;nomoc&gt;&lt;br&gt;Centro de Gestión:   &lt;nomborgc&gt;&lt;br&gt;Fecha envío solicitud:  &lt;fechacreacion&gt;&lt;br&gt;Aprobador:    &lt;nombaprobador&gt;&lt;br&gt;&lt;br&gt;&lt;br&gt;Atentamente, &lt;br&gt;&lt;br&gt;Equipo iConstruye&lt;br&gt;&lt;link&gt; &lt;br&gt;Mesa de Ayuda&lt;br&gt;486 11 11&lt;br&gt;&lt;img src="http://cl.iconstruye.com/images/logo.jpg" /img&gt;</t>
  </si>
  <si>
    <t>Orden de Compra, Aprobación Total</t>
  </si>
  <si>
    <t>Orden de Compra rechazada</t>
  </si>
  <si>
    <t>Estimado Sr. &lt;nombsolicitante&gt;:&lt;br&gt;&lt;br&gt;Junto con saludarle, le informamos que la siguiente Orden de Compra generada por usted ha sido Rechazada. &lt;br&gt;&lt;br&gt;Nº de OC:   &lt;numoc&gt;&lt;br&gt;Nombre OC:  &lt;nomoc&gt;&lt;br&gt;Centro de Gestión:   &lt;nomborgc&gt;&lt;br&gt;Fecha envío OC:  &lt;fechacreacion&gt;&lt;br&gt;Rechazado por: &lt;nombaprobador&gt;&lt;br&gt;Comentario:  &lt;Rechazo&gt;&lt;br&gt;&lt;br&gt;Para revisar mayores antecedentes, ingrese al módulo Compras de nuestro sistema.&lt;br&gt;&lt;br&gt;&lt;br&gt;Atentamente,&lt;br&gt;&lt;br&gt;Equipo iConstruye&lt;br&gt;&lt;link&gt;&lt;br&gt;Mesa de Ayuda&lt;br&gt;486 11 11&lt;br&gt;&lt;img src="http://cl.iconstruye.com/images/logo.jpg" /img&gt;</t>
  </si>
  <si>
    <t>Orden de Compra, Rechazada Aprobador</t>
  </si>
  <si>
    <t>Solicitud de Cotización</t>
  </si>
  <si>
    <t>Estimados Sres. &lt;nombproveedor&gt;:&lt;br&gt;&lt;br&gt;Junto con saludarle, informamos a usted que la empresa &lt;nombempresa&gt; lo ha invitado a participar de la siguiente Cotización. &lt;br&gt;&lt;br&gt;Nº de Cotización:  &lt;numcz&gt;&lt;br&gt;Nombre Cotización:  &lt;nomcz&gt;&lt;br&gt;Fecha de cierre:   &lt;fechacierre&gt;&lt;br&gt;&lt;br&gt;No deje pasar esta Oportunidad de hacer Negocios. Para mayor información, ingrese al módulo Cotizaciones de nuestro sistema.&lt;br&gt;&lt;br&gt;&lt;br&gt;Atentamente,&lt;br&gt;&lt;br&gt;Equipo iConstruye&lt;br&gt;&lt;link&gt;&lt;br&gt;Mesa de Ayuda&lt;br&gt;486 11 11&lt;br&gt;&lt;img src="http://cl.iconstruye.com/images/logo.jpg" /img&gt;</t>
  </si>
  <si>
    <t>Cotizaciones, Publicación</t>
  </si>
  <si>
    <t>B2B Electra FK</t>
  </si>
  <si>
    <t>B2belectrafk@iconstruye.com</t>
  </si>
  <si>
    <t>&lt;!DOCTYPE html&gt;  &lt;html lang="es"&gt;  &lt;head&gt;   &lt;meta charset="UTF-8"&gt;   &lt;style type="text/css"&gt;    body {     font-family: Arial, Helvetica, sans-serif;     font-size: small;     padding: 12px;    }      p {     text-align: justify;    }      p.parrafo {     text-indent: 24px;    }   &lt;/style&gt;  &lt;/head&gt;  &lt;body&gt;   &lt;p&gt;&lt;strong&gt;Estimado Señor {NombreDestinatario}&lt;/strong&gt;&lt;/p&gt;   &lt;br&gt;&lt;br&gt;   &lt;p class="parrafo"&gt;Por Encargo de &lt;strong&gt;{EmpresaCompradora}&lt;/strong&gt; le informamos que se ha(n) generado la(s) siguiente(s) Órden(es) de Compra:&lt;/p&gt;   &lt;br&gt;   &lt;p&gt;&lt;strong&gt;Órdenes de Compra:&lt;/strong&gt;&lt;/p&gt;   {ListaOC}   &lt;br&gt;&lt;br&gt;   &lt;p class="parrafo"&gt;Para Aceptar o Rechazar esta(s) Órden(es) de Compra, debe responder a este Correo, &lt;strong&gt;como Plazo Máximo dentro de 8 horas hábiles&lt;/strong&gt;, señalando claramente su desición. En caso de Rechazar la(s) OC debe explicar claramente las razones del rechazo.&lt;/p&gt;   &lt;p class="parrafo"&gt;&lt;strong&gt;Si usted no es el representante interno en su organización para gestionar esta Orden de Compra,responda este correo indicado el nombre y correo electrónico del contacto&lt;/strong&gt;.&lt;/p&gt;   &lt;p class="parrafo"&gt;&lt;a clicktracking=off  href="https://www.iconstruye.com/"&gt;Contáctenos&lt;/a&gt; para su incorporación como &lt;a clicktracking=off href="https://www.iconstruye.com/"&gt;Proveedor Integrado&lt;/a&gt;, a la Comunidad de Iconstruye y realizar enlínea la gestión completa de sus negocios con &lt;strong&gt;{EmpresaCompradora}&lt;/strong&gt; y con las otras 200 &lt;a clicktracking=off  href="https://cl.iconstruye.com/lista_clientes/pdf/constructoras-201806.pdf"&gt;Constructoras&lt;/a&gt; que gestionan su abastecimiento a través de &lt;a clicktracking=off href="https://www.iconstruye.com/"&gt;www.iconstruye.com&lt;/a&gt;&lt;/p&gt;   &lt;br&gt;&lt;br&gt;   &lt;p class="parrafo"&gt;&lt;strong&gt;NOTAS:&lt;/strong&gt; {Mensaje}&lt;/p&gt;   &lt;br&gt;&lt;br&gt;   &lt;p&gt;Atentamente,&lt;/p&gt;   &lt;p&gt;IConstruye S.A.&lt;/p&gt;   &lt;p&gt;Servicio de Activación de Órdenes de Compra.&lt;/p&gt;   &lt;img src="http://cl.iconstruye.com/images/logo.jpg" /&gt;  &lt;/body&gt;  &lt;/html&gt;</t>
  </si>
  <si>
    <t>Recuperar contraseña - Portal de Pagos de LoCampino</t>
  </si>
  <si>
    <t>&lt;!DOCTYPE html&gt;&lt;html lang="en"&gt;&lt;head&gt;&lt;base href="http://diseno.iconstruye.cl/ic/desarrollando/portal-provedores/V5/email-avisos-portal-pago/aviso-nota-correccion.html"&gt;&lt;meta http-equiv="Content-Type" content="text/html; charset=UTF-8"&gt;&lt;meta name="viewport" content="width=device-width, initial-scale=1"&gt;&lt;meta http-equiv="X-UA-Compatible" content="IE=edge"&gt;&lt;title&gt;Recuperación de Contraseña&lt;/title&gt;&lt;style type="text/css"&gt;/* Outlines the grids, remove when sending *//*table td { border: 1px solid cyan; }*//* CLIENT-SPECIFIC STYLES */body, table, td, a { -webkit-text-size-adjust: 100%; -ms-text-size-adjust: 100%; font-family: Helvetica, sans-serif; font-weight: 300; color: #333333; font-size: 14px;}table, td { mso-table-lspace: 0pt; mso-table-rspace: 0pt; }img { -ms-interpolation-mode: bicubic; }h1 {font-size: 1.2em;}.orange {display: none;}.container-orange {background-color: #ff7d28;width: 100%;}.container-green {background-color: #48a548;width: 100%;}.boxes {width: 48%;/*background-color: #efefef;*/padding: 20px;}.footer img {display: block;width: 35%;height: auto;}/* RESET STYLES */img { border: 0; outline: none; text-decoration: none; }table { border-collapse: collapse !important; }body { margin: 0 !important; padding: 0 !important; width: 100% !important; }/* iOS BLUE LINKS */a[x-apple-data-detectors] {color: inherit !important;text-decoration: none !important;font-size: inherit !important;font-family: inherit !important;font-weight: inherit !important;line-height: inherit !important;}/* ANDROID CENTER FIX */div[style*="margin: 16px 0;"] { margin: 0 !important; }/* MEDIA QUERIES */@media all and (max-width:639px) { .wrapper{ width:320px!important; padding: 0 !important; }.container{ width:300px!important;padding: 0 !important; }.mobile{ width:300px!important; display:block!important; padding: 0 !important; }.img{ width:100% !important; height:auto !important; }*[class="mobileOff"] { width: 0px !important; display: none !important; }*[class*="mobileOn"] { display: block !important; max-height:none !important; }}@media screen and (max-width:380px) {h1 {font-size: 1.4em;text-align: center;color: #666666;}h3 {font-size: 1.6em!important;}.wrapper { width:100%!important; padding: 0 !important;}.mobile {width: 100% !important; padding: 0 !important; }.mobile p {text-align: center!important;font-size: 1.3em !important; }.boton {font-size: 1.8em !important;padding: 30px !important;}.footer p {font-size: 0.9em !important;}.footer p a { font-size: 0.9em !important; }.footer img {display: block;width: 50%;height: auto;}.logo {width: 70% !important;}.orange {position: absolute;top: 0;background-color: #ff7d28;display: block!important;}.up {display: none!important;}.down {margin-top: 90px!important;}.container-img {width:100%!important;padding: 0 !important;}.container-orange {width:100%!important;padding: 0 !important;}.container-orange h3 {font-size: 1.6em !important;}.boxes {padding: 10px!important;border-bottom: 1px solid #dddddd;}}&lt;/style&gt;&lt;script type="text/javascript" data-savepage-src="chrome-extension://aadgmnobpdmgmigaicncghmmoeflnamj/ng-inspector.js" src=""&gt;&lt;/script&gt;&lt;link rel="icon" href=""&gt;&lt;/head&gt;&lt;body style="margin:0; padding:0; background-color:#F2F2F2;"&gt;&lt;span style="display: block; width: 640px !important; max-width: 640px; height: 1px" class="mobileOff"&gt;&lt;/span&gt;&lt;center&gt;&lt;table width="100%" border="0" cellpadding="0" cellspacing="0" bgcolor="#F2F2F2"&gt;&lt;tbody&gt;&lt;tr&gt;&lt;td align="center" valign="top"&gt;&lt;table width="640" cellpadding="0" cellspacing="0" border="0" class="wrapper" bgcolor="#FFFFFF"&gt;&lt;tbody&gt;&lt;tr&gt;&lt;td align="center" valign="top" bgcolor="#373B46" style="background-color:#373B46;"&gt;&lt;table width="600" cellpadding="0" cellspacing="0" border="0" class="container"&gt;&lt;tbody&gt;&lt;tr&gt;&lt;td width="100%" class="mobile" align="center" valign="middle" style="padding:10px;"&gt;&lt;img class="logo" src="https://cl.iconstruye.com/landing-home-prov/assents/images/logo-1.png" style="width: 120px;"&gt;&lt;/td&gt;&lt;/tr&gt;&lt;/tbody&gt;&lt;/table&gt;&lt;/td&gt;&lt;/tr&gt;&lt;/tbody&gt;&lt;/table&gt;			&lt;table width="640" cellpadding="0" cellspacing="0" border="0" class="wrapper" bgcolor="#FFFFFF"&gt;&lt;tbody&gt;&lt;tr&gt;&lt;td align="center" valign="top"&gt;&lt;table width="600" cellpadding="0" cellspacing="0" border="0" class="container-orange"&gt;&lt;tbody&gt;&lt;tr&gt;&lt;td align="center" valign="middle" style="min-height:110px"&gt;&lt;h3 style="font-size: 1.8em; font-weight: 200; color: #ffffff;"&gt;Recuperación de &lt;strong&gt;Contraseña&lt;/strong&gt;&lt;/h3&gt;&lt;/td&gt;&lt;/tr&gt;&lt;/tbody&gt;&lt;/table&gt;&lt;/td&gt;&lt;/tr&gt;&lt;tr&gt;&lt;td height="10" style="font-size:10px; line-height:10px;"&gt; &lt;/td&gt;&lt;/tr&gt;&lt;/tbody&gt;&lt;/table&gt;&lt;table width="640" cellpadding="0" cellspacing="0" border="0" class="wrapper" bgcolor="#FFFFFF"&gt;&lt;tbody&gt;&lt;tr&gt;&lt;td align="center" valign="top" style="padding: 10px 0;"&gt;&lt;table width="600" cellpadding="0" cellspacing="0" border="0" class="container"&gt;&lt;tbody&gt;&lt;tr&gt;&lt;td class="mobile" align="left" valign="top"&gt;&lt;p style="font-size: 1.1em; margin-bottom: 25px;"&gt;Estimado (a): &lt;strong&gt;&lt;nombusuario&gt;&lt;/strong&gt;&lt;/p&gt;&lt;p style=" font-size: 1.1em; text-align: justify; margin-bottom: 15px;"&gt;Junto con saludarte, recordamos que los datos de acceso a nuestro sistema son:&lt;/p&gt;&lt;p style=" font-size: 1.1em; text-align: left; margin-bottom: 15px;"&gt;Usuario: &lt;strong&gt;&lt;idusuario&gt;&lt;/strong&gt;&lt;br /&gt;Organización: &lt;strong&gt;&lt;nombempresa&gt;&lt;/strong&gt;&lt;br /&gt;Clave: &lt;strong&gt;&lt;clave&gt;&lt;/strong&gt;&lt;/p&gt;&lt;p style=" font-size: 1.1em; text-align: left; margin-bottom: 45px;"&gt;En caso de requerir información adicional, comunícate con nosotros al 2 486 1111 o al correo &lt;a style="color: #ff7d28;"href="mailto:portalproveedores@iconstruye.com"&gt;portalproveedores@iconstruye.com&lt;/a&gt;&lt;br /&gt;&lt;br /&gt;Atentamente,&lt;br /&gt;Equipo iConstruye&lt;/p&gt;&lt;/td&gt;&lt;/tr&gt;&lt;tr&gt;&lt;td class="mobile" align="center" valign="top"&gt;&lt;a href="https://locampino.iconstruye.com" style="background:#ff7d28; color:#fff; padding:10px 20px; text-decoration: none; border-radius:4px; margin: 10px 0;display:inline-block;font-size: 1.2em;font-weight: 400;line-height: 26px;"&gt;Ingresar al Portal de Pagos&lt;/a&gt;&lt;/td&gt;&lt;/tr&gt;&lt;/tbody&gt;&lt;/table&gt;&lt;/td&gt;&lt;/tr&gt;&lt;tr&gt;&lt;td height="20" style="font-size:10px; line-height:10px;"&gt; &lt;/td&gt;&lt;/tr&gt;&lt;/tbody&gt;&lt;/table&gt;&lt;table width="640" cellpadding="0" cellspacing="0" border="0" class="wrapper" bgcolor="#F2F2F2"&gt;&lt;tbody&gt;&lt;tr&gt;&lt;td height="10" style="font-size:10px; line-height:10px;"&gt; &lt;/td&gt;&lt;/tr&gt;&lt;tr&gt;&lt;td align="center" valign="top"&gt;&lt;table width="600" cellpadding="0" cellspacing="0" border="0" class="container"&gt;&lt;tbody&gt;&lt;tr&gt;&lt;td class="mobile footer" align="center" valign="top"&gt;&lt;p style="line-height: 1.5em; font-size: 0.9em; text-align: center; color: #999999;"&gt;Correo enviado a través de iConstruye | Todos los Derechos Reservados |&lt;/p&gt;&lt;/td&gt;&lt;/tr&gt;&lt;/tbody&gt;&lt;/table&gt;&lt;/td&gt;&lt;/tr&gt;&lt;tr&gt;&lt;td height="10" style="font-size:10px; line-height:10px;"&gt; &lt;/td&gt;&lt;/tr&gt;&lt;/tbody&gt;&lt;/table&gt; &lt;/td&gt;&lt;/tr&gt;&lt;/tbody&gt;&lt;/table&gt;&lt;/center&gt;&lt;div id="extension-kmmojbkhfhninkelnlcnliacgncnnikf-installed"&gt;&lt;/div&gt;&lt;/body&gt;&lt;/html&gt;</t>
  </si>
  <si>
    <t>Usuario Recuperar Contraseña Portal LoCampino</t>
  </si>
  <si>
    <t>Recuperar contraseña - Portal de Pagos de SalfaCorp</t>
  </si>
  <si>
    <t>&lt;!DOCTYPE html&gt;&lt;html lang="en"&gt;&lt;head&gt;&lt;base href="http://diseno.iconstruye.cl/ic/desarrollando/portal-provedores/V5/email-avisos-portal-pago/aviso-nota-correccion.html"&gt;&lt;meta http-equiv="Content-Type" content="text/html; charset=UTF-8"&gt;&lt;meta name="viewport" content="width=device-width, initial-scale=1"&gt;&lt;meta http-equiv="X-UA-Compatible" content="IE=edge"&gt;&lt;title&gt;Recuperación de Contraseña&lt;/title&gt;&lt;style type="text/css"&gt;/* Outlines the grids, remove when sending *//*table td { border: 1px solid cyan; }*//* CLIENT-SPECIFIC STYLES */body, table, td, a { -webkit-text-size-adjust: 100%; -ms-text-size-adjust: 100%; font-family: Helvetica, sans-serif; font-weight: 300; color: #333333; font-size: 14px;}table, td { mso-table-lspace: 0pt; mso-table-rspace: 0pt; }img { -ms-interpolation-mode: bicubic; }h1 {font-size: 1.2em;}.orange {display: none;}.container-orange {background-color: #ff7d28;width: 100%;}.container-green {background-color: #48a548;width: 100%;}.boxes {width: 48%;/*background-color: #efefef;*/padding: 20px;}.footer img {display: block;width: 35%;height: auto;}/* RESET STYLES */img { border: 0; outline: none; text-decoration: none; }table { border-collapse: collapse !important; }body { margin: 0 !important; padding: 0 !important; width: 100% !important; }/* iOS BLUE LINKS */a[x-apple-data-detectors] {color: inherit !important;text-decoration: none !important;font-size: inherit !important;font-family: inherit !important;font-weight: inherit !important;line-height: inherit !important;}/* ANDROID CENTER FIX */div[style*="margin: 16px 0;"] { margin: 0 !important; }/* MEDIA QUERIES */@media all and (max-width:639px) { .wrapper{ width:320px!important; padding: 0 !important; }.container{ width:300px!important;padding: 0 !important; }.mobile{ width:300px!important; display:block!important; padding: 0 !important; }.img{ width:100% !important; height:auto !important; }*[class="mobileOff"] { width: 0px !important; display: none !important; }*[class*="mobileOn"] { display: block !important; max-height:none !important; }}@media screen and (max-width:380px) {h1 {font-size: 1.4em;text-align: center;color: #666666;}h3 {font-size: 1.6em!important;}.wrapper { width:100%!important; padding: 0 !important;}.mobile {width: 100% !important; padding: 0 !important; }.mobile p {text-align: center!important;font-size: 1.3em !important; }.boton {font-size: 1.8em !important;padding: 30px !important;}.footer p {font-size: 0.9em !important;}.footer p a { font-size: 0.9em !important; }.footer img {display: block;width: 50%;height: auto;}.logo {width: 70% !important;}.orange {position: absolute;top: 0;background-color: #ff7d28;display: block!important;}.up {display: none!important;}.down {margin-top: 90px!important;}.container-img {width:100%!important;padding: 0 !important;}.container-orange {width:100%!important;padding: 0 !important;}.container-orange h3 {font-size: 1.6em !important;}.boxes {padding: 10px!important;border-bottom: 1px solid #dddddd;}}&lt;/style&gt;&lt;script type="text/javascript" data-savepage-src="chrome-extension://aadgmnobpdmgmigaicncghmmoeflnamj/ng-inspector.js" src=""&gt;&lt;/script&gt;&lt;link rel="icon" href=""&gt;&lt;/head&gt;&lt;body style="margin:0; padding:0; background-color:#F2F2F2;"&gt;&lt;span style="display: block; width: 640px !important; max-width: 640px; height: 1px" class="mobileOff"&gt;&lt;/span&gt;&lt;center&gt;&lt;table width="100%" border="0" cellpadding="0" cellspacing="0" bgcolor="#F2F2F2"&gt;&lt;tbody&gt;&lt;tr&gt;&lt;td align="center" valign="top"&gt;&lt;table width="640" cellpadding="0" cellspacing="0" border="0" class="wrapper" bgcolor="#FFFFFF"&gt;&lt;tbody&gt;&lt;tr&gt;&lt;td align="center" valign="top" bgcolor="#373B46" style="background-color:#373B46;"&gt;&lt;table width="600" cellpadding="0" cellspacing="0" border="0" class="container"&gt;&lt;tbody&gt;&lt;tr&gt;&lt;td width="100%" class="mobile" align="center" valign="middle" style="padding:10px;"&gt;&lt;img class="logo" src="https://cl.iconstruye.com/landing-home-prov/assents/images/logo-1.png" style="width: 120px;"&gt;&lt;/td&gt;&lt;/tr&gt;&lt;/tbody&gt;&lt;/table&gt;&lt;/td&gt;&lt;/tr&gt;&lt;/tbody&gt;&lt;/table&gt;			&lt;table width="640" cellpadding="0" cellspacing="0" border="0" class="wrapper" bgcolor="#FFFFFF"&gt;&lt;tbody&gt;&lt;tr&gt;&lt;td align="center" valign="top"&gt;&lt;table width="600" cellpadding="0" cellspacing="0" border="0" class="container-orange"&gt;&lt;tbody&gt;&lt;tr&gt;&lt;td align="center" valign="middle" style="min-height:110px"&gt;&lt;h3 style="font-size: 1.8em; font-weight: 200; color: #ffffff;"&gt;Recuperación de &lt;strong&gt;Contraseña&lt;/strong&gt;&lt;/h3&gt;&lt;/td&gt;&lt;/tr&gt;&lt;/tbody&gt;&lt;/table&gt;&lt;/td&gt;&lt;/tr&gt;&lt;tr&gt;&lt;td height="10" style="font-size:10px; line-height:10px;"&gt; &lt;/td&gt;&lt;/tr&gt;&lt;/tbody&gt;&lt;/table&gt;&lt;table width="640" cellpadding="0" cellspacing="0" border="0" class="wrapper" bgcolor="#FFFFFF"&gt;&lt;tbody&gt;&lt;tr&gt;&lt;td align="center" valign="top" style="padding: 10px 0;"&gt;&lt;table width="600" cellpadding="0" cellspacing="0" border="0" class="container"&gt;&lt;tbody&gt;&lt;tr&gt;&lt;td class="mobile" align="left" valign="top"&gt;&lt;p style="font-size: 1.1em; margin-bottom: 25px;"&gt;Estimado (a): &lt;strong&gt;&lt;nombusuario&gt;&lt;/strong&gt;&lt;/p&gt;&lt;p style=" font-size: 1.1em; text-align: justify; margin-bottom: 15px;"&gt;Junto con saludarte, recordamos que los datos de acceso a nuestro sistema son:&lt;/p&gt;&lt;p style=" font-size: 1.1em; text-align: left; margin-bottom: 15px;"&gt;Usuario: &lt;strong&gt;&lt;idusuario&gt;&lt;/strong&gt;&lt;br /&gt;Organización: &lt;strong&gt;&lt;nombempresa&gt;&lt;/strong&gt;&lt;br /&gt;Clave: &lt;strong&gt;&lt;clave&gt;&lt;/strong&gt;&lt;/p&gt;&lt;p style=" font-size: 1.1em; text-align: left; margin-bottom: 45px;"&gt;En caso de requerir información adicional, comunícate con nosotros al 2 486 1111 o al correo &lt;a style="color: #ff7d28;"href="mailto:portalproveedores@iconstruye.com"&gt;portalproveedores@iconstruye.com&lt;/a&gt;&lt;br /&gt;&lt;br /&gt;Atentamente,&lt;br /&gt;Equipo iConstruye&lt;/p&gt;&lt;/td&gt;&lt;/tr&gt;&lt;tr&gt;&lt;td class="mobile" align="center" valign="top"&gt;&lt;a href="https://salfacorp.iconstruye.com" style="background:#ff7d28; color:#fff; padding:10px 20px; text-decoration: none; border-radius:4px; margin: 10px 0;display:inline-block;font-size: 1.2em;font-weight: 400;line-height: 26px;"&gt;Ingresar al Portal de Pagos&lt;/a&gt;&lt;/td&gt;&lt;/tr&gt;&lt;/tbody&gt;&lt;/table&gt;&lt;/td&gt;&lt;/tr&gt;&lt;tr&gt;&lt;td height="20" style="font-size:10px; line-height:10px;"&gt; &lt;/td&gt;&lt;/tr&gt;&lt;/tbody&gt;&lt;/table&gt;&lt;table width="640" cellpadding="0" cellspacing="0" border="0" class="wrapper" bgcolor="#F2F2F2"&gt;&lt;tbody&gt;&lt;tr&gt;&lt;td height="10" style="font-size:10px; line-height:10px;"&gt; &lt;/td&gt;&lt;/tr&gt;&lt;tr&gt;&lt;td align="center" valign="top"&gt;&lt;table width="600" cellpadding="0" cellspacing="0" border="0" class="container"&gt;&lt;tbody&gt;&lt;tr&gt;&lt;td class="mobile footer" align="center" valign="top"&gt;&lt;p style="line-height: 1.5em; font-size: 0.9em; text-align: center; color: #999999;"&gt;Correo enviado a través de iConstruye | Todos los Derechos Reservados |&lt;/p&gt;&lt;/td&gt;&lt;/tr&gt;&lt;/tbody&gt;&lt;/table&gt;&lt;/td&gt;&lt;/tr&gt;&lt;tr&gt;&lt;td height="10" style="font-size:10px; line-height:10px;"&gt; &lt;/td&gt;&lt;/tr&gt;&lt;/tbody&gt;&lt;/table&gt; &lt;/td&gt;&lt;/tr&gt;&lt;/tbody&gt;&lt;/table&gt;&lt;/center&gt;&lt;div id="extension-kmmojbkhfhninkelnlcnliacgncnnikf-installed"&gt;&lt;/div&gt;&lt;/body&gt;&lt;/html&gt;</t>
  </si>
  <si>
    <t>Usuario Recuperar Contraseña Portal SalfaCorp</t>
  </si>
  <si>
    <t>Registro Portal de Pagos Sigro</t>
  </si>
  <si>
    <t>Bienvenido a Portal de Pagos de Sigro</t>
  </si>
  <si>
    <t>&lt;!DOCTYPE html&gt;&lt;html lang="en"&gt;&lt;head&gt;&lt;base href="http://diseno.iconstruye.cl/ic/desarrollando/portal-provedores/V5/email-avisos-portal-pago/aviso-nota-correccion.html"&gt;&lt;meta http-equiv="Content-Type" content="text/html; charset=UTF-8"&gt;&lt;meta name="viewport" content="width=device-width, initial-scale=1"&gt;&lt;meta http-equiv="X-UA-Compatible" content="IE=edge"&gt;&lt;title&gt;Bienvenido a iConstruye&lt;/title&gt;&lt;style type="text/css"&gt;/* Outlines the grids, remove when sending *//*table td { border: 1px solid cyan; }*//* CLIENT-SPECIFIC STYLES */body, table, td, a { -webkit-text-size-adjust: 100%; -ms-text-size-adjust: 100%; font-family: Helvetica, sans-serif; font-weight: 300; color: #333333; font-size: 14px;}table, td { mso-table-lspace: 0pt; mso-table-rspace: 0pt; }img { -ms-interpolation-mode: bicubic; }h1 {font-size: 1.2em;}.orange {display: none;}.container-orange {background-color: #ff7d28;width: 100%;}.container-green {background-color: #48a548;width: 100%;}.boxes {width: 48%;/*background-color: #efefef;*/padding: 20px;}.footer img {display: block;width: 35%;height: auto;}/* RESET STYLES */img { border: 0; outline: none; text-decoration: none; }table { border-collapse: collapse !important; }body { margin: 0 !important; padding: 0 !important; width: 100% !important; }/* iOS BLUE LINKS */a[x-apple-data-detectors] {color: inherit !important;text-decoration: none !important;font-size: inherit !important;font-family: inherit !important;font-weight: inherit !important;line-height: inherit !important;}/* ANDROID CENTER FIX */div[style*="margin: 16px 0;"] { margin: 0 !important; }/* MEDIA QUERIES */@media all and (max-width:639px) { .wrapper{ width:320px!important; padding: 0 !important; }.container{ width:300px!important;padding: 0 !important; }.mobile{ width:300px!important; display:block!important; padding: 0 !important; }.img{ width:100% !important; height:auto !important; }*[class="mobileOff"] { width: 0px !important; display: none !important; }*[class*="mobileOn"] { display: block !important; max-height:none !important; }}@media screen and (max-width:380px) {h1 {font-size: 1.4em;text-align: center;color: #666666;}h3 {font-size: 1.6em!important;}.wrapper { width:100%!important; padding: 0 !important;}.mobile {width: 100% !important; padding: 0 !important; }.mobile p {text-align: center!important;font-size: 1.3em !important; }.boton {font-size: 1.8em !important;padding: 30px !important;}.footer p {font-size: 0.9em !important;}.footer p a { font-size: 0.9em !important; }.footer img {display: block;width: 50%;height: auto;}.logo {width: 70% !important;}.orange {position: absolute;top: 0;background-color: #ff7d28;display: block!important;}.up {display: none!important;}.down {margin-top: 90px!important;}.container-img {width:100%!important;padding: 0 !important;}.container-orange {width:100%!important;padding: 0 !important;}.container-orange h3 {font-size: 1.6em !important;}.boxes {padding: 10px!important;border-bottom: 1px solid #dddddd;}}&lt;/style&gt;&lt;script type="text/javascript" data-savepage-src="chrome-extension://aadgmnobpdmgmigaicncghmmoeflnamj/ng-inspector.js" src=""&gt;&lt;/script&gt;&lt;link rel="icon" href=""&gt;&lt;/head&gt;&lt;body style="margin:0; padding:0; background-color:#F2F2F2;"&gt;&lt;span style="display: block; width: 640px !important; max-width: 640px; height: 1px" class="mobileOff"&gt;&lt;/span&gt;&lt;center&gt;&lt;table width="100%" border="0" cellpadding="0" cellspacing="0" bgcolor="#F2F2F2"&gt;&lt;tbody&gt;&lt;tr&gt;&lt;td align="center" valign="top"&gt;&lt;table width="640" cellpadding="0" cellspacing="0" border="0" class="wrapper" bgcolor="#FFFFFF"&gt;&lt;tbody&gt;&lt;tr&gt;&lt;td align="center" valign="top" bgcolor="#373B46" style="background-color:#373B46;"&gt;&lt;table width="600" cellpadding="0" cellspacing="0" border="0" class="container"&gt;&lt;tbody&gt;&lt;tr&gt;&lt;td width="100%" class="mobile" align="center" valign="middle" style="padding:10px;"&gt;&lt;img class="logo" src="https://cl.iconstruye.com/landing-home-prov/assents/images/logo-1.png" style="width: 120px;"&gt;&lt;/td&gt;&lt;/tr&gt;&lt;/tbody&gt;&lt;/table&gt;&lt;/td&gt;&lt;/tr&gt;&lt;/tbody&gt;&lt;/table&gt;&lt;table width="640" cellpadding="0" cellspacing="0" border="0" class="wrapper" bgcolor="#FFFFFF"&gt;&lt;tbody&gt;&lt;tr&gt;&lt;td align="center" valign="top"&gt;&lt;table width="600" cellpadding="0" cellspacing="0" border="0" class="container-orange"&gt;&lt;tbody&gt;&lt;tr&gt;&lt;td align="center" valign="middle" style="min-height:110px"&gt;&lt;h3 style="font-size: 1.8em; font-weight: 200; color: #ffffff;"&gt;Bienvenido a &lt;strong&gt;iConstruye&lt;/strong&gt;&lt;/h3&gt;&lt;/td&gt;&lt;/tr&gt;&lt;/tbody&gt;&lt;/table&gt;&lt;/td&gt;&lt;/tr&gt;&lt;tr&gt;&lt;td height="10" style="font-size:10px; line-height:10px;"&gt; &lt;/td&gt;&lt;/tr&gt;&lt;/tbody&gt;&lt;/table&gt;&lt;table width="640" cellpadding="0" cellspacing="0" border="0" class="wrapper" bgcolor="#FFFFFF"&gt;&lt;tbody&gt;&lt;tr&gt;&lt;td align="center" valign="top" style="padding: 10px 0;"&gt;&lt;table width="600" cellpadding="0" cellspacing="0" border="0" class="container"&gt;&lt;tbody&gt;&lt;tr&gt;&lt;td class="mobile" align="left" valign="top"&gt;&lt;p style="font-size: 1.1em; margin-bottom: 25px;"&gt;Estimado (a): &lt;strong&gt;&lt;nombusuario&gt;&lt;/strong&gt;&lt;/p&gt;&lt;p style=" font-size: 1.1em; text-align: left; margin-bottom: 15px;"&gt;Te damos la bienvenida al Portal de Proveedores de iConstruye, la plataforma tecnológica que permite a constructoras y proveedores intercambiar información de los procesos de facturación y pago de facturas.&lt;/p&gt;&lt;p style=" font-size: 1.1em; text-align: left; margin-bottom: 15px;"&gt;Hacemos envío de tus datos de acceso a nuestra plataforma:&lt;br /&gt;&lt;br /&gt;Usuario: &lt;strong&gt;&lt;idusuario&gt;&lt;/strong&gt;&lt;br /&gt;Organización: &lt;strong&gt;&lt;nombempresa&gt;&lt;/strong&gt;&lt;br /&gt;Clave: &lt;strong&gt;&lt;clave&gt;&lt;/strong&gt;&lt;/p&gt;&lt;p style=" font-size: 1.1em; text-align: left; margin-bottom: 45px;"&gt;Para información adicional nos encuentras en:&lt;br /&gt;Fono: &lt;fonocontacto&gt; o al correo &lt;a style="color: #ff7d28;"  href="mailto:portalproveedores@iconstruye.com"&gt;portalproveedores@iconstruye.com&lt;/a&gt;&lt;br /&gt;&lt;br /&gt;Atentamente,&lt;br /&gt;Equipo iConstruye&lt;br /&gt;&lt;a style="color: #ff7d28;" href="https://www.iconstruye.com"&gt;www.iconstruye.com&lt;/a&gt; &lt;/p&gt;&lt;/td&gt;&lt;/tr&gt;&lt;tr&gt;&lt;td class="mobile" align="center" valign="top"&gt;&lt;a href="https://sigro.iconstruye.com/" style="background:#ff7d28; color:#fff; padding:10px 20px; text-decoration: none; border-radius:4px; margin: 10px 0;display:inline-block;font-size: 1.2em;font-weight: 400;line-height: 26px;"&gt;Ingresar al Portal de Pagos&lt;/a&gt;&lt;/td&gt;&lt;/tr&gt;&lt;/tbody&gt;&lt;/table&gt;&lt;/td&gt;&lt;/tr&gt;&lt;tr&gt;&lt;td height="20" style="font-size:10px; line-height:10px;"&gt; &lt;/td&gt;&lt;/tr&gt;&lt;/tbody&gt;&lt;/table&gt;&lt;table width="640" cellpadding="0" cellspacing="0" border="0" class="wrapper" bgcolor="#F2F2F2"&gt;&lt;tbody&gt;&lt;tr&gt;&lt;td height="10" style="font-size:10px; line-height:10px;"&gt; &lt;/td&gt;&lt;/tr&gt;&lt;tr&gt;&lt;td class="mobile" align="center" valign="middle" style="padding:5px 10px;"&gt;&lt;img src="http://diseno.iconstruye.cl/mailing/newsletter/images/201802/201802-logo-ic-grey.png"&gt;&lt;/td&gt;&lt;/tr&gt;&lt;tr&gt;&lt;td align="center" valign="top"&gt;&lt;table width="600" cellpadding="0" cellspacing="0" border="0" class="container"&gt;&lt;tbody&gt;&lt;tr&gt;&lt;td class="mobile footer" align="center" valign="top"&gt;&lt;p style="line-height: 1.5em; font-size: 0.9em; text-align: center; color: #999999;"&gt;Correo enviado a través de iConstruye | Todos los Derechos Reservados |&lt;/p&gt;&lt;/td&gt;&lt;/tr&gt;&lt;/tbody&gt;&lt;/table&gt;&lt;/td&gt;&lt;/tr&gt;&lt;tr&gt;&lt;td height="10" style="font-size:10px; line-height:10px;"&gt; &lt;/td&gt;&lt;/tr&gt;&lt;/tbody&gt;&lt;/table&gt; &lt;/td&gt;&lt;/tr&gt;&lt;/tbody&gt;&lt;/table&gt;&lt;/center&gt;&lt;div id="extension-kmmojbkhfhninkelnlcnliacgncnnikf-installed"&gt;&lt;/div&gt;&lt;/body&gt;&lt;/html&gt;</t>
  </si>
  <si>
    <t>Registro portal Sigro</t>
  </si>
  <si>
    <t>Registro Portal de Pagos Besalco</t>
  </si>
  <si>
    <t>Bienvenido a Portal de Pagos de Besalco</t>
  </si>
  <si>
    <t>&lt;!DOCTYPE html&gt;&lt;html lang="en"&gt;&lt;head&gt;&lt;base href="http://diseno.iconstruye.cl/ic/desarrollando/portal-provedores/V5/email-avisos-portal-pago/aviso-nota-correccion.html"&gt;&lt;meta http-equiv="Content-Type" content="text/html; charset=UTF-8"&gt;&lt;meta name="viewport" content="width=device-width, initial-scale=1"&gt;&lt;meta http-equiv="X-UA-Compatible" content="IE=edge"&gt;&lt;title&gt;Bienvenido a iConstruye&lt;/title&gt;&lt;style type="text/css"&gt;/* Outlines the grids, remove when sending *//*table td { border: 1px solid cyan; }*//* CLIENT-SPECIFIC STYLES */body, table, td, a { -webkit-text-size-adjust: 100%; -ms-text-size-adjust: 100%; font-family: Helvetica, sans-serif; font-weight: 300; color: #333333; font-size: 14px;}table, td { mso-table-lspace: 0pt; mso-table-rspace: 0pt; }img { -ms-interpolation-mode: bicubic; }h1 {font-size: 1.2em;}.orange {display: none;}.container-orange {background-color: #ff7d28;width: 100%;}.container-green {background-color: #48a548;width: 100%;}.boxes {width: 48%;/*background-color: #efefef;*/padding: 20px;}.footer img {display: block;width: 35%;height: auto;}/* RESET STYLES */img { border: 0; outline: none; text-decoration: none; }table { border-collapse: collapse !important; }body { margin: 0 !important; padding: 0 !important; width: 100% !important; }/* iOS BLUE LINKS */a[x-apple-data-detectors] {color: inherit !important;text-decoration: none !important;font-size: inherit !important;font-family: inherit !important;font-weight: inherit !important;line-height: inherit !important;}/* ANDROID CENTER FIX */div[style*="margin: 16px 0;"] { margin: 0 !important; }/* MEDIA QUERIES */@media all and (max-width:639px) { .wrapper{ width:320px!important; padding: 0 !important; }.container{ width:300px!important;padding: 0 !important; }.mobile{ width:300px!important; display:block!important; padding: 0 !important; }.img{ width:100% !important; height:auto !important; }*[class="mobileOff"] { width: 0px !important; display: none !important; }*[class*="mobileOn"] { display: block !important; max-height:none !important; }}@media screen and (max-width:380px) {h1 {font-size: 1.4em;text-align: center;color: #666666;}h3 {font-size: 1.6em!important;}.wrapper { width:100%!important; padding: 0 !important;}.mobile {width: 100% !important; padding: 0 !important; }.mobile p {text-align: center!important;font-size: 1.3em !important; }.boton {font-size: 1.8em !important;padding: 30px !important;}.footer p {font-size: 0.9em !important;}.footer p a { font-size: 0.9em !important; }.footer img {display: block;width: 50%;height: auto;}.logo {width: 70% !important;}.orange {position: absolute;top: 0;background-color: #ff7d28;display: block!important;}.up {display: none!important;}.down {margin-top: 90px!important;}.container-img {width:100%!important;padding: 0 !important;}.container-orange {width:100%!important;padding: 0 !important;}.container-orange h3 {font-size: 1.6em !important;}.boxes {padding: 10px!important;border-bottom: 1px solid #dddddd;}}&lt;/style&gt;&lt;script type="text/javascript" data-savepage-src="chrome-extension://aadgmnobpdmgmigaicncghmmoeflnamj/ng-inspector.js" src=""&gt;&lt;/script&gt;&lt;link rel="icon" href=""&gt;&lt;/head&gt;&lt;body style="margin:0; padding:0; background-color:#F2F2F2;"&gt;&lt;span style="display: block; width: 640px !important; max-width: 640px; height: 1px" class="mobileOff"&gt;&lt;/span&gt;&lt;center&gt;&lt;table width="100%" border="0" cellpadding="0" cellspacing="0" bgcolor="#F2F2F2"&gt;&lt;tbody&gt;&lt;tr&gt;&lt;td align="center" valign="top"&gt;&lt;table width="640" cellpadding="0" cellspacing="0" border="0" class="wrapper" bgcolor="#FFFFFF"&gt;&lt;tbody&gt;&lt;tr&gt;&lt;td align="center" valign="top" bgcolor="#373B46" style="background-color:#373B46;"&gt;&lt;table width="600" cellpadding="0" cellspacing="0" border="0" class="container"&gt;&lt;tbody&gt;&lt;tr&gt;&lt;td width="100%" class="mobile" align="center" valign="middle" style="padding:10px;"&gt;&lt;img class="logo" src="https://cl.iconstruye.com/landing-home-prov/assents/images/logo-1.png" style="width: 120px;"&gt;&lt;/td&gt;&lt;/tr&gt;&lt;/tbody&gt;&lt;/table&gt;&lt;/td&gt;&lt;/tr&gt;&lt;/tbody&gt;&lt;/table&gt;&lt;table width="640" cellpadding="0" cellspacing="0" border="0" class="wrapper" bgcolor="#FFFFFF"&gt;&lt;tbody&gt;&lt;tr&gt;&lt;td align="center" valign="top"&gt;&lt;table width="600" cellpadding="0" cellspacing="0" border="0" class="container-orange"&gt;&lt;tbody&gt;&lt;tr&gt;&lt;td align="center" valign="middle" style="min-height:110px"&gt;&lt;h3 style="font-size: 1.8em; font-weight: 200; color: #ffffff;"&gt;Bienvenido a &lt;strong&gt;iConstruye&lt;/strong&gt;&lt;/h3&gt;&lt;/td&gt;&lt;/tr&gt;&lt;/tbody&gt;&lt;/table&gt;&lt;/td&gt;&lt;/tr&gt;&lt;tr&gt;&lt;td height="10" style="font-size:10px; line-height:10px;"&gt; &lt;/td&gt;&lt;/tr&gt;&lt;/tbody&gt;&lt;/table&gt;&lt;table width="640" cellpadding="0" cellspacing="0" border="0" class="wrapper" bgcolor="#FFFFFF"&gt;&lt;tbody&gt;&lt;tr&gt;&lt;td align="center" valign="top" style="padding: 10px 0;"&gt;&lt;table width="600" cellpadding="0" cellspacing="0" border="0" class="container"&gt;&lt;tbody&gt;&lt;tr&gt;&lt;td class="mobile" align="left" valign="top"&gt;&lt;p style="font-size: 1.1em; margin-bottom: 25px;"&gt;Estimado (a): &lt;strong&gt;&lt;nombusuario&gt;&lt;/strong&gt;&lt;/p&gt;&lt;p style=" font-size: 1.1em; text-align: left; margin-bottom: 15px;"&gt;Te damos la bienvenida al Portal de Proveedores de iConstruye, la plataforma tecnológica que permite a constructoras y proveedores intercambiar información de los procesos de facturación y pago de facturas.&lt;/p&gt;&lt;p style=" font-size: 1.1em; text-align: left; margin-bottom: 15px;"&gt;Hacemos envío de tus datos de acceso a nuestra plataforma:&lt;br /&gt;&lt;br /&gt;Usuario: &lt;strong&gt;&lt;idusuario&gt;&lt;/strong&gt;&lt;br /&gt;Organización: &lt;strong&gt;&lt;nombempresa&gt;&lt;/strong&gt;&lt;br /&gt;Clave: &lt;strong&gt;&lt;clave&gt;&lt;/strong&gt;&lt;/p&gt;&lt;p style=" font-size: 1.1em; text-align: left; margin-bottom: 45px;"&gt;Para información adicional nos encuentras en:&lt;br /&gt;Fono: &lt;fonocontacto&gt; o al correo &lt;a style="color: #ff7d28;"  href="mailto:portalproveedores@iconstruye.com"&gt;portalproveedores@iconstruye.com&lt;/a&gt;&lt;br /&gt;&lt;br /&gt;Atentamente,&lt;br /&gt;Equipo iConstruye&lt;br /&gt;&lt;a style="color: #ff7d28;" href="https://www.iconstruye.com"&gt;www.iconstruye.com&lt;/a&gt; &lt;/p&gt;&lt;/td&gt;&lt;/tr&gt;&lt;tr&gt;&lt;td class="mobile" align="center" valign="top"&gt;&lt;a href="https://besalco.iconstruye.com/" style="background:#ff7d28; color:#fff; padding:10px 20px; text-decoration: none; border-radius:4px; margin: 10px 0;display:inline-block;font-size: 1.2em;font-weight: 400;line-height: 26px;"&gt;Ingresar al Portal de Pagos&lt;/a&gt;&lt;/td&gt;&lt;/tr&gt;&lt;/tbody&gt;&lt;/table&gt;&lt;/td&gt;&lt;/tr&gt;&lt;tr&gt;&lt;td height="20" style="font-size:10px; line-height:10px;"&gt; &lt;/td&gt;&lt;/tr&gt;&lt;/tbody&gt;&lt;/table&gt;&lt;table width="640" cellpadding="0" cellspacing="0" border="0" class="wrapper" bgcolor="#F2F2F2"&gt;&lt;tbody&gt;&lt;tr&gt;&lt;td height="10" style="font-size:10px; line-height:10px;"&gt; &lt;/td&gt;&lt;/tr&gt;&lt;tr&gt;&lt;td class="mobile" align="center" valign="middle" style="padding:5px 10px;"&gt;&lt;img src="http://diseno.iconstruye.cl/mailing/newsletter/images/201802/201802-logo-ic-grey.png"&gt;&lt;/td&gt;&lt;/tr&gt;&lt;tr&gt;&lt;td align="center" valign="top"&gt;&lt;table width="600" cellpadding="0" cellspacing="0" border="0" class="container"&gt;&lt;tbody&gt;&lt;tr&gt;&lt;td class="mobile footer" align="center" valign="top"&gt;&lt;p style="line-height: 1.5em; font-size: 0.9em; text-align: center; color: #999999;"&gt;Correo enviado a través de iConstruye | Todos los Derechos Reservados |&lt;/p&gt;&lt;/td&gt;&lt;/tr&gt;&lt;/tbody&gt;&lt;/table&gt;&lt;/td&gt;&lt;/tr&gt;&lt;tr&gt;&lt;td height="10" style="font-size:10px; line-height:10px;"&gt; &lt;/td&gt;&lt;/tr&gt;&lt;/tbody&gt;&lt;/table&gt; &lt;/td&gt;&lt;/tr&gt;&lt;/tbody&gt;&lt;/table&gt;&lt;/center&gt;&lt;div id="extension-kmmojbkhfhninkelnlcnliacgncnnikf-installed"&gt;&lt;/div&gt;&lt;/body&gt;&lt;/html&gt;</t>
  </si>
  <si>
    <t>Registro portal Besalco</t>
  </si>
  <si>
    <t>Registro Portal de Pagos Icafal</t>
  </si>
  <si>
    <t>Bienvenido a Portal de Pagos de Icafal</t>
  </si>
  <si>
    <t>&lt;!DOCTYPE html&gt;&lt;html lang="en"&gt;&lt;head&gt;&lt;base href="http://diseno.iconstruye.cl/ic/desarrollando/portal-provedores/V5/email-avisos-portal-pago/aviso-nota-correccion.html"&gt;&lt;meta http-equiv="Content-Type" content="text/html; charset=UTF-8"&gt;&lt;meta name="viewport" content="width=device-width, initial-scale=1"&gt;&lt;meta http-equiv="X-UA-Compatible" content="IE=edge"&gt;&lt;title&gt;Bienvenido a iConstruye&lt;/title&gt;&lt;style type="text/css"&gt;/* Outlines the grids, remove when sending *//*table td { border: 1px solid cyan; }*//* CLIENT-SPECIFIC STYLES */body, table, td, a { -webkit-text-size-adjust: 100%; -ms-text-size-adjust: 100%; font-family: Helvetica, sans-serif; font-weight: 300; color: #333333; font-size: 14px;}table, td { mso-table-lspace: 0pt; mso-table-rspace: 0pt; }img { -ms-interpolation-mode: bicubic; }h1 {font-size: 1.2em;}.orange {display: none;}.container-orange {background-color: #ff7d28;width: 100%;}.container-green {background-color: #48a548;width: 100%;}.boxes {width: 48%;/*background-color: #efefef;*/padding: 20px;}.footer img {display: block;width: 35%;height: auto;}/* RESET STYLES */img { border: 0; outline: none; text-decoration: none; }table { border-collapse: collapse !important; }body { margin: 0 !important; padding: 0 !important; width: 100% !important; }/* iOS BLUE LINKS */a[x-apple-data-detectors] {color: inherit !important;text-decoration: none !important;font-size: inherit !important;font-family: inherit !important;font-weight: inherit !important;line-height: inherit !important;}/* ANDROID CENTER FIX */div[style*="margin: 16px 0;"] { margin: 0 !important; }/* MEDIA QUERIES */@media all and (max-width:639px) { .wrapper{ width:320px!important; padding: 0 !important; }.container{ width:300px!important;padding: 0 !important; }.mobile{ width:300px!important; display:block!important; padding: 0 !important; }.img{ width:100% !important; height:auto !important; }*[class="mobileOff"] { width: 0px !important; display: none !important; }*[class*="mobileOn"] { display: block !important; max-height:none !important; }}@media screen and (max-width:380px) {h1 {font-size: 1.4em;text-align: center;color: #666666;}h3 {font-size: 1.6em!important;}.wrapper { width:100%!important; padding: 0 !important;}.mobile {width: 100% !important; padding: 0 !important; }.mobile p {text-align: center!important;font-size: 1.3em !important; }.boton {font-size: 1.8em !important;padding: 30px !important;}.footer p {font-size: 0.9em !important;}.footer p a { font-size: 0.9em !important; }.footer img {display: block;width: 50%;height: auto;}.logo {width: 70% !important;}.orange {position: absolute;top: 0;background-color: #ff7d28;display: block!important;}.up {display: none!important;}.down {margin-top: 90px!important;}.container-img {width:100%!important;padding: 0 !important;}.container-orange {width:100%!important;padding: 0 !important;}.container-orange h3 {font-size: 1.6em !important;}.boxes {padding: 10px!important;border-bottom: 1px solid #dddddd;}}&lt;/style&gt;&lt;script type="text/javascript" data-savepage-src="chrome-extension://aadgmnobpdmgmigaicncghmmoeflnamj/ng-inspector.js" src=""&gt;&lt;/script&gt;&lt;link rel="icon" href=""&gt;&lt;/head&gt;&lt;body style="margin:0; padding:0; background-color:#F2F2F2;"&gt;&lt;span style="display: block; width: 640px !important; max-width: 640px; height: 1px" class="mobileOff"&gt;&lt;/span&gt;&lt;center&gt;&lt;table width="100%" border="0" cellpadding="0" cellspacing="0" bgcolor="#F2F2F2"&gt;&lt;tbody&gt;&lt;tr&gt;&lt;td align="center" valign="top"&gt;&lt;table width="640" cellpadding="0" cellspacing="0" border="0" class="wrapper" bgcolor="#FFFFFF"&gt;&lt;tbody&gt;&lt;tr&gt;&lt;td align="center" valign="top" bgcolor="#373B46" style="background-color:#373B46;"&gt;&lt;table width="600" cellpadding="0" cellspacing="0" border="0" class="container"&gt;&lt;tbody&gt;&lt;tr&gt;&lt;td width="100%" class="mobile" align="center" valign="middle" style="padding:10px;"&gt;&lt;img class="logo" src="https://cl.iconstruye.com/landing-home-prov/assents/images/logo-1.png" style="width: 120px;"&gt;&lt;/td&gt;&lt;/tr&gt;&lt;/tbody&gt;&lt;/table&gt;&lt;/td&gt;&lt;/tr&gt;&lt;/tbody&gt;&lt;/table&gt;&lt;table width="640" cellpadding="0" cellspacing="0" border="0" class="wrapper" bgcolor="#FFFFFF"&gt;&lt;tbody&gt;&lt;tr&gt;&lt;td align="center" valign="top"&gt;&lt;table width="600" cellpadding="0" cellspacing="0" border="0" class="container-orange"&gt;&lt;tbody&gt;&lt;tr&gt;&lt;td align="center" valign="middle" style="min-height:110px"&gt;&lt;h3 style="font-size: 1.8em; font-weight: 200; color: #ffffff;"&gt;Bienvenido a &lt;strong&gt;iConstruye&lt;/strong&gt;&lt;/h3&gt;&lt;/td&gt;&lt;/tr&gt;&lt;/tbody&gt;&lt;/table&gt;&lt;/td&gt;&lt;/tr&gt;&lt;tr&gt;&lt;td height="10" style="font-size:10px; line-height:10px;"&gt; &lt;/td&gt;&lt;/tr&gt;&lt;/tbody&gt;&lt;/table&gt;&lt;table width="640" cellpadding="0" cellspacing="0" border="0" class="wrapper" bgcolor="#FFFFFF"&gt;&lt;tbody&gt;&lt;tr&gt;&lt;td align="center" valign="top" style="padding: 10px 0;"&gt;&lt;table width="600" cellpadding="0" cellspacing="0" border="0" class="container"&gt;&lt;tbody&gt;&lt;tr&gt;&lt;td class="mobile" align="left" valign="top"&gt;&lt;p style="font-size: 1.1em; margin-bottom: 25px;"&gt;Estimado (a): &lt;strong&gt;&lt;nombusuario&gt;&lt;/strong&gt;&lt;/p&gt;&lt;p style=" font-size: 1.1em; text-align: left; margin-bottom: 15px;"&gt;Te damos la bienvenida al Portal de Proveedores de iConstruye, la plataforma tecnológica que permite a constructoras y proveedores intercambiar información de los procesos de facturación y pago de facturas.&lt;/p&gt;&lt;p style=" font-size: 1.1em; text-align: left; margin-bottom: 15px;"&gt;Hacemos envío de tus datos de acceso a nuestra plataforma:&lt;br /&gt;&lt;br /&gt;Usuario: &lt;strong&gt;&lt;idusuario&gt;&lt;/strong&gt;&lt;br /&gt;Organización: &lt;strong&gt;&lt;nombempresa&gt;&lt;/strong&gt;&lt;br /&gt;Clave: &lt;strong&gt;&lt;clave&gt;&lt;/strong&gt;&lt;/p&gt;&lt;p style=" font-size: 1.1em; text-align: left; margin-bottom: 45px;"&gt;Para información adicional nos encuentras en:&lt;br /&gt;Fono: &lt;fonocontacto&gt; o al correo &lt;a style="color: #ff7d28;"  href="mailto:portalproveedores@iconstruye.com"&gt;portalproveedores@iconstruye.com&lt;/a&gt;&lt;br /&gt;&lt;br /&gt;Atentamente,&lt;br /&gt;Equipo iConstruye&lt;br /&gt;&lt;a style="color: #ff7d28;" href="https://www.iconstruye.com"&gt;www.iconstruye.com&lt;/a&gt; &lt;/p&gt;&lt;/td&gt;&lt;/tr&gt;&lt;tr&gt;&lt;td class="mobile" align="center" valign="top"&gt;&lt;a href="https://icafal.iconstruye.com/" style="background:#ff7d28; color:#fff; padding:10px 20px; text-decoration: none; border-radius:4px; margin: 10px 0;display:inline-block;font-size: 1.2em;font-weight: 400;line-height: 26px;"&gt;Ingresar al Portal de Pagos&lt;/a&gt;&lt;/td&gt;&lt;/tr&gt;&lt;/tbody&gt;&lt;/table&gt;&lt;/td&gt;&lt;/tr&gt;&lt;tr&gt;&lt;td height="20" style="font-size:10px; line-height:10px;"&gt; &lt;/td&gt;&lt;/tr&gt;&lt;/tbody&gt;&lt;/table&gt;&lt;table width="640" cellpadding="0" cellspacing="0" border="0" class="wrapper" bgcolor="#F2F2F2"&gt;&lt;tbody&gt;&lt;tr&gt;&lt;td height="10" style="font-size:10px; line-height:10px;"&gt; &lt;/td&gt;&lt;/tr&gt;&lt;tr&gt;&lt;td class="mobile" align="center" valign="middle" style="padding:5px 10px;"&gt;&lt;img src="http://diseno.iconstruye.cl/mailing/newsletter/images/201802/201802-logo-ic-grey.png"&gt;&lt;/td&gt;&lt;/tr&gt;&lt;tr&gt;&lt;td align="center" valign="top"&gt;&lt;table width="600" cellpadding="0" cellspacing="0" border="0" class="container"&gt;&lt;tbody&gt;&lt;tr&gt;&lt;td class="mobile footer" align="center" valign="top"&gt;&lt;p style="line-height: 1.5em; font-size: 0.9em; text-align: center; color: #999999;"&gt;Correo enviado a través de iConstruye | Todos los Derechos Reservados |&lt;/p&gt;&lt;/td&gt;&lt;/tr&gt;&lt;/tbody&gt;&lt;/table&gt;&lt;/td&gt;&lt;/tr&gt;&lt;tr&gt;&lt;td height="10" style="font-size:10px; line-height:10px;"&gt; &lt;/td&gt;&lt;/tr&gt;&lt;/tbody&gt;&lt;/table&gt; &lt;/td&gt;&lt;/tr&gt;&lt;/tbody&gt;&lt;/table&gt;&lt;/center&gt;&lt;div id="extension-kmmojbkhfhninkelnlcnliacgncnnikf-installed"&gt;&lt;/div&gt;&lt;/body&gt;&lt;/html&gt;</t>
  </si>
  <si>
    <t>Registro Portal Icafal</t>
  </si>
  <si>
    <t>Registro Portal de Pagos LoCampino</t>
  </si>
  <si>
    <t>Bienvenido a Portal de Pagos de LoCampino</t>
  </si>
  <si>
    <t>&lt;!DOCTYPE html&gt;&lt;html lang="en"&gt;&lt;head&gt;&lt;base href="http://diseno.iconstruye.cl/ic/desarrollando/portal-provedores/V5/email-avisos-portal-pago/aviso-nota-correccion.html"&gt;&lt;meta http-equiv="Content-Type" content="text/html; charset=UTF-8"&gt;&lt;meta name="viewport" content="width=device-width, initial-scale=1"&gt;&lt;meta http-equiv="X-UA-Compatible" content="IE=edge"&gt;&lt;title&gt;Bienvenido a iConstruye&lt;/title&gt;&lt;style type="text/css"&gt;/* Outlines the grids, remove when sending *//*table td { border: 1px solid cyan; }*//* CLIENT-SPECIFIC STYLES */body, table, td, a { -webkit-text-size-adjust: 100%; -ms-text-size-adjust: 100%; font-family: Helvetica, sans-serif; font-weight: 300; color: #333333; font-size: 14px;}table, td { mso-table-lspace: 0pt; mso-table-rspace: 0pt; }img { -ms-interpolation-mode: bicubic; }h1 {font-size: 1.2em;}.orange {display: none;}.container-orange {background-color: #ff7d28;width: 100%;}.container-green {background-color: #48a548;width: 100%;}.boxes {width: 48%;/*background-color: #efefef;*/padding: 20px;}.footer img {display: block;width: 35%;height: auto;}/* RESET STYLES */img { border: 0; outline: none; text-decoration: none; }table { border-collapse: collapse !important; }body { margin: 0 !important; padding: 0 !important; width: 100% !important; }/* iOS BLUE LINKS */a[x-apple-data-detectors] {color: inherit !important;text-decoration: none !important;font-size: inherit !important;font-family: inherit !important;font-weight: inherit !important;line-height: inherit !important;}/* ANDROID CENTER FIX */div[style*="margin: 16px 0;"] { margin: 0 !important; }/* MEDIA QUERIES */@media all and (max-width:639px) { .wrapper{ width:320px!important; padding: 0 !important; }.container{ width:300px!important;padding: 0 !important; }.mobile{ width:300px!important; display:block!important; padding: 0 !important; }.img{ width:100% !important; height:auto !important; }*[class="mobileOff"] { width: 0px !important; display: none !important; }*[class*="mobileOn"] { display: block !important; max-height:none !important; }}@media screen and (max-width:380px) {h1 {font-size: 1.4em;text-align: center;color: #666666;}h3 {font-size: 1.6em!important;}.wrapper { width:100%!important; padding: 0 !important;}.mobile {width: 100% !important; padding: 0 !important; }.mobile p {text-align: center!important;font-size: 1.3em !important; }.boton {font-size: 1.8em !important;padding: 30px !important;}.footer p {font-size: 0.9em !important;}.footer p a { font-size: 0.9em !important; }.footer img {display: block;width: 50%;height: auto;}.logo {width: 70% !important;}.orange {position: absolute;top: 0;background-color: #ff7d28;display: block!important;}.up {display: none!important;}.down {margin-top: 90px!important;}.container-img {width:100%!important;padding: 0 !important;}.container-orange {width:100%!important;padding: 0 !important;}.container-orange h3 {font-size: 1.6em !important;}.boxes {padding: 10px!important;border-bottom: 1px solid #dddddd;}}&lt;/style&gt;&lt;script type="text/javascript" data-savepage-src="chrome-extension://aadgmnobpdmgmigaicncghmmoeflnamj/ng-inspector.js" src=""&gt;&lt;/script&gt;&lt;link rel="icon" href=""&gt;&lt;/head&gt;&lt;body style="margin:0; padding:0; background-color:#F2F2F2;"&gt;&lt;span style="display: block; width: 640px !important; max-width: 640px; height: 1px" class="mobileOff"&gt;&lt;/span&gt;&lt;center&gt;&lt;table width="100%" border="0" cellpadding="0" cellspacing="0" bgcolor="#F2F2F2"&gt;&lt;tbody&gt;&lt;tr&gt;&lt;td align="center" valign="top"&gt;&lt;table width="640" cellpadding="0" cellspacing="0" border="0" class="wrapper" bgcolor="#FFFFFF"&gt;&lt;tbody&gt;&lt;tr&gt;&lt;td align="center" valign="top" bgcolor="#373B46" style="background-color:#373B46;"&gt;&lt;table width="600" cellpadding="0" cellspacing="0" border="0" class="container"&gt;&lt;tbody&gt;&lt;tr&gt;&lt;td width="100%" class="mobile" align="center" valign="middle" style="padding:10px;"&gt;&lt;img class="logo" src="https://cl.iconstruye.com/landing-home-prov/assents/images/logo-1.png" style="width: 120px;"&gt;&lt;/td&gt;&lt;/tr&gt;&lt;/tbody&gt;&lt;/table&gt;&lt;/td&gt;&lt;/tr&gt;&lt;/tbody&gt;&lt;/table&gt;&lt;table width="640" cellpadding="0" cellspacing="0" border="0" class="wrapper" bgcolor="#FFFFFF"&gt;&lt;tbody&gt;&lt;tr&gt;&lt;td align="center" valign="top"&gt;&lt;table width="600" cellpadding="0" cellspacing="0" border="0" class="container-orange"&gt;&lt;tbody&gt;&lt;tr&gt;&lt;td align="center" valign="middle" style="min-height:110px"&gt;&lt;h3 style="font-size: 1.8em; font-weight: 200; color: #ffffff;"&gt;Bienvenido a &lt;strong&gt;iConstruye&lt;/strong&gt;&lt;/h3&gt;&lt;/td&gt;&lt;/tr&gt;&lt;/tbody&gt;&lt;/table&gt;&lt;/td&gt;&lt;/tr&gt;&lt;tr&gt;&lt;td height="10" style="font-size:10px; line-height:10px;"&gt; &lt;/td&gt;&lt;/tr&gt;&lt;/tbody&gt;&lt;/table&gt;&lt;table width="640" cellpadding="0" cellspacing="0" border="0" class="wrapper" bgcolor="#FFFFFF"&gt;&lt;tbody&gt;&lt;tr&gt;&lt;td align="center" valign="top" style="padding: 10px 0;"&gt;&lt;table width="600" cellpadding="0" cellspacing="0" border="0" class="container"&gt;&lt;tbody&gt;&lt;tr&gt;&lt;td class="mobile" align="left" valign="top"&gt;&lt;p style="font-size: 1.1em; margin-bottom: 25px;"&gt;Estimado (a): &lt;strong&gt;&lt;nombusuario&gt;&lt;/strong&gt;&lt;/p&gt;&lt;p style=" font-size: 1.1em; text-align: left; margin-bottom: 15px;"&gt;Te damos la bienvenida al Portal de Proveedores de iConstruye, la plataforma tecnológica que permite a constructoras y proveedores intercambiar información de los procesos de facturación y pago de facturas.&lt;/p&gt;&lt;p style=" font-size: 1.1em; text-align: left; margin-bottom: 15px;"&gt;Hacemos envío de tus datos de acceso a nuestra plataforma:&lt;br /&gt;&lt;br /&gt;Usuario: &lt;strong&gt;&lt;idusuario&gt;&lt;/strong&gt;&lt;br /&gt;Organización: &lt;strong&gt;&lt;nombempresa&gt;&lt;/strong&gt;&lt;br /&gt;Clave: &lt;strong&gt;&lt;clave&gt;&lt;/strong&gt;&lt;/p&gt;&lt;p style=" font-size: 1.1em; text-align: left; margin-bottom: 45px;"&gt;Para información adicional nos encuentras en:&lt;br /&gt;Fono: &lt;fonocontacto&gt; o al correo &lt;a style="color: #ff7d28;"  href="mailto:portalproveedores@iconstruye.com"&gt;portalproveedores@iconstruye.com&lt;/a&gt;&lt;br /&gt;&lt;br /&gt;Atentamente,&lt;br /&gt;Equipo iConstruye&lt;br /&gt;&lt;a style="color: #ff7d28;" href="https://www.iconstruye.com"&gt;www.iconstruye.com&lt;/a&gt; &lt;/p&gt;&lt;/td&gt;&lt;/tr&gt;&lt;tr&gt;&lt;td class="mobile" align="center" valign="top"&gt;&lt;a href="https://locampino.iconstruye.com/" style="background:#ff7d28; color:#fff; padding:10px 20px; text-decoration: none; border-radius:4px; margin: 10px 0;display:inline-block;font-size: 1.2em;font-weight: 400;line-height: 26px;"&gt;Ingresar al Portal de Pagos&lt;/a&gt;&lt;/td&gt;&lt;/tr&gt;&lt;/tbody&gt;&lt;/table&gt;&lt;/td&gt;&lt;/tr&gt;&lt;tr&gt;&lt;td height="20" style="font-size:10px; line-height:10px;"&gt; &lt;/td&gt;&lt;/tr&gt;&lt;/tbody&gt;&lt;/table&gt;&lt;table width="640" cellpadding="0" cellspacing="0" border="0" class="wrapper" bgcolor="#F2F2F2"&gt;&lt;tbody&gt;&lt;tr&gt;&lt;td height="10" style="font-size:10px; line-height:10px;"&gt; &lt;/td&gt;&lt;/tr&gt;&lt;tr&gt;&lt;td class="mobile" align="center" valign="middle" style="padding:5px 10px;"&gt;&lt;img src="http://diseno.iconstruye.cl/mailing/newsletter/images/201802/201802-logo-ic-grey.png"&gt;&lt;/td&gt;&lt;/tr&gt;&lt;tr&gt;&lt;td align="center" valign="top"&gt;&lt;table width="600" cellpadding="0" cellspacing="0" border="0" class="container"&gt;&lt;tbody&gt;&lt;tr&gt;&lt;td class="mobile footer" align="center" valign="top"&gt;&lt;p style="line-height: 1.5em; font-size: 0.9em; text-align: center; color: #999999;"&gt;Correo enviado a través de iConstruye | Todos los Derechos Reservados |&lt;/p&gt;&lt;/td&gt;&lt;/tr&gt;&lt;/tbody&gt;&lt;/table&gt;&lt;/td&gt;&lt;/tr&gt;&lt;tr&gt;&lt;td height="10" style="font-size:10px; line-height:10px;"&gt; &lt;/td&gt;&lt;/tr&gt;&lt;/tbody&gt;&lt;/table&gt; &lt;/td&gt;&lt;/tr&gt;&lt;/tbody&gt;&lt;/table&gt;&lt;/center&gt;&lt;div id="extension-kmmojbkhfhninkelnlcnliacgncnnikf-installed"&gt;&lt;/div&gt;&lt;/body&gt;&lt;/html&gt;</t>
  </si>
  <si>
    <t>Registro Portal LoCampino</t>
  </si>
  <si>
    <t>Registro Portal de Pagos SalfaCorp</t>
  </si>
  <si>
    <t>Bienvenido a Portal de Pagos de SalfaCorp</t>
  </si>
  <si>
    <t>&lt;!DOCTYPE html&gt;&lt;html lang="en"&gt;&lt;head&gt;&lt;base href="http://diseno.iconstruye.cl/ic/desarrollando/portal-provedores/V5/email-avisos-portal-pago/aviso-nota-correccion.html"&gt;&lt;meta http-equiv="Content-Type" content="text/html; charset=UTF-8"&gt;&lt;meta name="viewport" content="width=device-width, initial-scale=1"&gt;&lt;meta http-equiv="X-UA-Compatible" content="IE=edge"&gt;&lt;title&gt;Bienvenido a iConstruye&lt;/title&gt;&lt;style type="text/css"&gt;/* Outlines the grids, remove when sending *//*table td { border: 1px solid cyan; }*//* CLIENT-SPECIFIC STYLES */body, table, td, a { -webkit-text-size-adjust: 100%; -ms-text-size-adjust: 100%; font-family: Helvetica, sans-serif; font-weight: 300; color: #333333; font-size: 14px;}table, td { mso-table-lspace: 0pt; mso-table-rspace: 0pt; }img { -ms-interpolation-mode: bicubic; }h1 {font-size: 1.2em;}.orange {display: none;}.container-orange {background-color: #ff7d28;width: 100%;}.container-green {background-color: #48a548;width: 100%;}.boxes {width: 48%;/*background-color: #efefef;*/padding: 20px;}.footer img {display: block;width: 35%;height: auto;}/* RESET STYLES */img { border: 0; outline: none; text-decoration: none; }table { border-collapse: collapse !important; }body { margin: 0 !important; padding: 0 !important; width: 100% !important; }/* iOS BLUE LINKS */a[x-apple-data-detectors] {color: inherit !important;text-decoration: none !important;font-size: inherit !important;font-family: inherit !important;font-weight: inherit !important;line-height: inherit !important;}/* ANDROID CENTER FIX */div[style*="margin: 16px 0;"] { margin: 0 !important; }/* MEDIA QUERIES */@media all and (max-width:639px) { .wrapper{ width:320px!important; padding: 0 !important; }.container{ width:300px!important;padding: 0 !important; }.mobile{ width:300px!important; display:block!important; padding: 0 !important; }.img{ width:100% !important; height:auto !important; }*[class="mobileOff"] { width: 0px !important; display: none !important; }*[class*="mobileOn"] { display: block !important; max-height:none !important; }}@media screen and (max-width:380px) {h1 {font-size: 1.4em;text-align: center;color: #666666;}h3 {font-size: 1.6em!important;}.wrapper { width:100%!important; padding: 0 !important;}.mobile {width: 100% !important; padding: 0 !important; }.mobile p {text-align: center!important;font-size: 1.3em !important; }.boton {font-size: 1.8em !important;padding: 30px !important;}.footer p {font-size: 0.9em !important;}.footer p a { font-size: 0.9em !important; }.footer img {display: block;width: 50%;height: auto;}.logo {width: 70% !important;}.orange {position: absolute;top: 0;background-color: #ff7d28;display: block!important;}.up {display: none!important;}.down {margin-top: 90px!important;}.container-img {width:100%!important;padding: 0 !important;}.container-orange {width:100%!important;padding: 0 !important;}.container-orange h3 {font-size: 1.6em !important;}.boxes {padding: 10px!important;border-bottom: 1px solid #dddddd;}}&lt;/style&gt;&lt;script type="text/javascript" data-savepage-src="chrome-extension://aadgmnobpdmgmigaicncghmmoeflnamj/ng-inspector.js" src=""&gt;&lt;/script&gt;&lt;link rel="icon" href=""&gt;&lt;/head&gt;&lt;body style="margin:0; padding:0; background-color:#F2F2F2;"&gt;&lt;span style="display: block; width: 640px !important; max-width: 640px; height: 1px" class="mobileOff"&gt;&lt;/span&gt;&lt;center&gt;&lt;table width="100%" border="0" cellpadding="0" cellspacing="0" bgcolor="#F2F2F2"&gt;&lt;tbody&gt;&lt;tr&gt;&lt;td align="center" valign="top"&gt;&lt;table width="640" cellpadding="0" cellspacing="0" border="0" class="wrapper" bgcolor="#FFFFFF"&gt;&lt;tbody&gt;&lt;tr&gt;&lt;td align="center" valign="top" bgcolor="#373B46" style="background-color:#373B46;"&gt;&lt;table width="600" cellpadding="0" cellspacing="0" border="0" class="container"&gt;&lt;tbody&gt;&lt;tr&gt;&lt;td width="100%" class="mobile" align="center" valign="middle" style="padding:10px;"&gt;&lt;img class="logo" src="https://cl.iconstruye.com/landing-home-prov/assents/images/logo-1.png" style="width: 120px;"&gt;&lt;/td&gt;&lt;/tr&gt;&lt;/tbody&gt;&lt;/table&gt;&lt;/td&gt;&lt;/tr&gt;&lt;/tbody&gt;&lt;/table&gt;&lt;table width="640" cellpadding="0" cellspacing="0" border="0" class="wrapper" bgcolor="#FFFFFF"&gt;&lt;tbody&gt;&lt;tr&gt;&lt;td align="center" valign="top"&gt;&lt;table width="600" cellpadding="0" cellspacing="0" border="0" class="container-orange"&gt;&lt;tbody&gt;&lt;tr&gt;&lt;td align="center" valign="middle" style="min-height:110px"&gt;&lt;h3 style="font-size: 1.8em; font-weight: 200; color: #ffffff;"&gt;Bienvenido a &lt;strong&gt;iConstruye&lt;/strong&gt;&lt;/h3&gt;&lt;/td&gt;&lt;/tr&gt;&lt;/tbody&gt;&lt;/table&gt;&lt;/td&gt;&lt;/tr&gt;&lt;tr&gt;&lt;td height="10" style="font-size:10px; line-height:10px;"&gt; &lt;/td&gt;&lt;/tr&gt;&lt;/tbody&gt;&lt;/table&gt;&lt;table width="640" cellpadding="0" cellspacing="0" border="0" class="wrapper" bgcolor="#FFFFFF"&gt;&lt;tbody&gt;&lt;tr&gt;&lt;td align="center" valign="top" style="padding: 10px 0;"&gt;&lt;table width="600" cellpadding="0" cellspacing="0" border="0" class="container"&gt;&lt;tbody&gt;&lt;tr&gt;&lt;td class="mobile" align="left" valign="top"&gt;&lt;p style="font-size: 1.1em; margin-bottom: 25px;"&gt;Estimado (a): &lt;strong&gt;&lt;nombusuario&gt;&lt;/strong&gt;&lt;/p&gt;&lt;p style=" font-size: 1.1em; text-align: left; margin-bottom: 15px;"&gt;Te damos la bienvenida al Portal de Proveedores de iConstruye, la plataforma tecnológica que permite a constructoras y proveedores intercambiar información de los procesos de facturación y pago de facturas.&lt;/p&gt;&lt;p style=" font-size: 1.1em; text-align: left; margin-bottom: 15px;"&gt;Hacemos envío de tus datos de acceso a nuestra plataforma:&lt;br /&gt;&lt;br /&gt;Usuario: &lt;strong&gt;&lt;idusuario&gt;&lt;/strong&gt;&lt;br /&gt;Organización: &lt;strong&gt;&lt;nombempresa&gt;&lt;/strong&gt;&lt;br /&gt;Clave: &lt;strong&gt;&lt;clave&gt;&lt;/strong&gt;&lt;/p&gt;&lt;p style=" font-size: 1.1em; text-align: left; margin-bottom: 45px;"&gt;Para información adicional nos encuentras en:&lt;br /&gt;Fono: &lt;fonocontacto&gt; o al correo &lt;a style="color: #ff7d28;"  href="mailto:portalproveedores@iconstruye.com"&gt;portalproveedores@iconstruye.com&lt;/a&gt;&lt;br /&gt;&lt;br /&gt;Atentamente,&lt;br /&gt;Equipo iConstruye&lt;br /&gt;&lt;a style="color: #ff7d28;" href="https://www.iconstruye.com"&gt;www.iconstruye.com&lt;/a&gt; &lt;/p&gt;&lt;/td&gt;&lt;/tr&gt;&lt;tr&gt;&lt;td class="mobile" align="center" valign="top"&gt;&lt;a href="https://salfacorp.iconstruye.com/" style="background:#ff7d28; color:#fff; padding:10px 20px; text-decoration: none; border-radius:4px; margin: 10px 0;display:inline-block;font-size: 1.2em;font-weight: 400;line-height: 26px;"&gt;Ingresar al Portal de Pagos&lt;/a&gt;&lt;/td&gt;&lt;/tr&gt;&lt;/tbody&gt;&lt;/table&gt;&lt;/td&gt;&lt;/tr&gt;&lt;tr&gt;&lt;td height="20" style="font-size:10px; line-height:10px;"&gt; &lt;/td&gt;&lt;/tr&gt;&lt;/tbody&gt;&lt;/table&gt;&lt;table width="640" cellpadding="0" cellspacing="0" border="0" class="wrapper" bgcolor="#F2F2F2"&gt;&lt;tbody&gt;&lt;tr&gt;&lt;td height="10" style="font-size:10px; line-height:10px;"&gt; &lt;/td&gt;&lt;/tr&gt;&lt;tr&gt;&lt;td class="mobile" align="center" valign="middle" style="padding:5px 10px;"&gt;&lt;img src="http://diseno.iconstruye.cl/mailing/newsletter/images/201802/201802-logo-ic-grey.png"&gt;&lt;/td&gt;&lt;/tr&gt;&lt;tr&gt;&lt;td align="center" valign="top"&gt;&lt;table width="600" cellpadding="0" cellspacing="0" border="0" class="container"&gt;&lt;tbody&gt;&lt;tr&gt;&lt;td class="mobile footer" align="center" valign="top"&gt;&lt;p style="line-height: 1.5em; font-size: 0.9em; text-align: center; color: #999999;"&gt;Correo enviado a través de iConstruye | Todos los Derechos Reservados |&lt;/p&gt;&lt;/td&gt;&lt;/tr&gt;&lt;/tbody&gt;&lt;/table&gt;&lt;/td&gt;&lt;/tr&gt;&lt;tr&gt;&lt;td height="10" style="font-size:10px; line-height:10px;"&gt; &lt;/td&gt;&lt;/tr&gt;&lt;/tbody&gt;&lt;/table&gt; &lt;/td&gt;&lt;/tr&gt;&lt;/tbody&gt;&lt;/table&gt;&lt;/center&gt;&lt;div id="extension-kmmojbkhfhninkelnlcnliacgncnnikf-installed"&gt;&lt;/div&gt;&lt;/body&gt;&lt;/html&gt;</t>
  </si>
  <si>
    <t>Registro Portal SalfaCorp</t>
  </si>
  <si>
    <t>Líneas de Pedido de Material Modificada</t>
  </si>
  <si>
    <t>&lt;div style="width:600px"&gt;&lt;p style="font-family:Arial;font-size:12px;text-align:left"&gt; Estimado(a)  &lt;nombsolicitante&gt;:  &lt;br&gt; Junto con saludar, informamos que el pedido de material N°  &lt;numpm&gt; solicitado por Ud. ha sido modificado. &lt;br&gt;&lt;br&gt;&lt;b&gt; N° pedido: &lt;/b&gt;&lt;numpm&gt;&lt;br&gt;&lt;b&gt;  Nombre pedido: &lt;/b&gt;&lt;nompm&gt;&lt;br&gt;&lt;b&gt; Centro de gestión: &lt;/b&gt;&lt;nomborgc&gt;&lt;br&gt;&lt;b&gt; Fecha de creación: &lt;/b&gt;&lt;/b&gt;&lt;fechacreacion&gt;&lt;br&gt;&lt;br&gt;&lt;mensajealerta&gt;&lt;br&gt;&lt;tablalineas&gt;&lt;br&gt;&lt;br&gt; Atentamente,&lt;br&gt;&lt;br&gt;Equipo iConstruye&lt;br&gt;&lt;link&gt;&lt;br&gt;Mesa de Ayuda&lt;br&gt;486 11 11&lt;br&gt;&lt;img src="http://cl.iconstruye.com/images/logo.jpg" /img&gt;&lt;/div&gt;</t>
  </si>
  <si>
    <t>Se envia cuando se modifican las cantidades de las líneas de un pedido de material</t>
  </si>
  <si>
    <t>Recepción de Hormigón &lt;NumRecepcion&gt; pendiente de atención</t>
  </si>
  <si>
    <t>&lt;div style="width:600px"&gt; &lt;p style="font-family:Arial;font-size:12px;text-align:left"&gt; &lt;b&gt;Estimado(a) &lt;NombreUsuario&gt;:&lt;/b&gt; &lt;br/&gt;&lt;br/&gt; Te informamos que la Recepción de Hormigón N° &lt;NumRecepcion&gt;, del Centro de Gestión &lt;CentroGestion&gt;, está pendiente de atención. &lt;/p&gt; &lt;br/&gt; &lt;p style="font-family:Arial;font-size:12px;text-align:left"&gt; Atentamente, &lt;br/&gt;&lt;br/&gt; Equipo iConstruye &lt;br/&gt;&lt;br/&gt; www.iconstruye.com &lt;br/&gt;&lt;br/&gt; ¿Dudas? Escríbenos a &lt;a href="mailto:comercial@iconstruye.com"&gt;comercial@iconstruye.com &lt;/a&gt; &lt;br&gt;&lt;br/&gt; &lt;/p&gt; &lt;/div&gt; &lt;img src="http://cl.iconstruye.com/images/logo.jpg"&gt; &lt;/body&gt; &lt;/html&gt;</t>
  </si>
  <si>
    <t>Se envía al crear una recepción de Hormigones</t>
  </si>
  <si>
    <t>Recepción On Field &lt;NumRecepcion&gt; pendiente de atención</t>
  </si>
  <si>
    <t>&lt;div style="width:600px"&gt; &lt;p style="font-family:Arial;font-size:12px;text-align:left"&gt; &lt;b&gt;Estimado(a) &lt;NombreUsuario&gt;:&lt;/b&gt; &lt;br/&gt;&lt;br/&gt; Te informamos que la Recepción On Field N° &lt;NumRecepcion&gt;, del Centro de Gestión &lt;CentroGestion&gt;, está pendiente de atención. &lt;/p&gt; &lt;br/&gt; &lt;p style="font-family:Arial;font-size:12px;text-align:left"&gt; Atentamente, &lt;br/&gt;&lt;br/&gt; Equipo iConstruye &lt;br/&gt;&lt;br/&gt; www.iconstruye.com &lt;br/&gt;&lt;br/&gt; ¿Dudas? Escríbenos a &lt;a href="mailto:comercial@iconstruye.com"&gt;comercial@iconstruye.com &lt;/a&gt; &lt;br&gt;&lt;br/&gt; &lt;/p&gt; &lt;/div&gt; &lt;img src="http://cl.iconstruye.com/images/logo.jpg"&gt; &lt;/body&gt; &lt;/html&gt;</t>
  </si>
  <si>
    <t>Se envía al crear una recepción On Field</t>
  </si>
  <si>
    <t>Solicitud de Pedido de Material &lt;NumSolicitud&gt; pendiente de atención</t>
  </si>
  <si>
    <t>&lt;div style="width:600px"&gt; &lt;p style="font-family:Arial;font-size:12px;text-align:left"&gt; &lt;b&gt;Estimado(a) &lt;NombreUsuario&gt;:&lt;/b&gt; &lt;br/&gt;&lt;br/&gt; Te informamos que la Solicitud de Pedido de Material N° &lt;NumSolicitud&gt;, del Centro de Gestión &lt;CentroGestion&gt;, está pendiente de atención. &lt;/p&gt; &lt;br/&gt; &lt;p style="font-family:Arial;font-size:12px;text-align:left"&gt; Atentamente, &lt;br/&gt;&lt;br/&gt; Equipo iConstruye &lt;br/&gt;&lt;br/&gt; www.iconstruye.com &lt;br/&gt;&lt;br/&gt; ¿Dudas? Escríbenos a &lt;a href="mailto:comercial@iconstruye.com"&gt;comercial@iconstruye.com &lt;/a&gt; &lt;br&gt;&lt;br/&gt; &lt;/p&gt; &lt;/div&gt; &lt;img src="http://cl.iconstruye.com/images/logo.jpg"&gt; &lt;/body&gt; &lt;/html&gt;</t>
  </si>
  <si>
    <t>Se envía al crear una solicitud de Pedido de Materiales</t>
  </si>
  <si>
    <t>Solicitud de Consumo &lt;NumConsumo&gt; pendiente de atención</t>
  </si>
  <si>
    <t>&lt;div style="width:600px"&gt; &lt;p style="font-family:Arial;font-size:12px;text-align:left"&gt; &lt;b&gt;Estimado(a) &lt;NombreUsuario&gt;:&lt;/b&gt; &lt;br/&gt;&lt;br/&gt; Te informamos que la Solicitud de Consumo N° &lt;NumConsumo&gt;, del Centro de Gestión &lt;CentroGestion&gt;, está pendiente de atención. &lt;/p&gt; &lt;br/&gt; &lt;p style="font-family:Arial;font-size:12px;text-align:left"&gt; Atentamente, &lt;br/&gt;&lt;br/&gt; Equipo iConstruye &lt;br/&gt;&lt;br/&gt; www.iconstruye.com &lt;br/&gt;&lt;br/&gt; ¿Dudas? Escríbenos a &lt;a href="mailto:comercial@iconstruye.com"&gt;comercial@iconstruye.com &lt;/a&gt; &lt;br&gt;&lt;br/&gt; &lt;/p&gt; &lt;/div&gt; &lt;img src="http://cl.iconstruye.com/images/logo.jpg"&gt; &lt;/body&gt; &lt;/html&gt;</t>
  </si>
  <si>
    <t>Se envía al crear una solicitud de Consumo</t>
  </si>
  <si>
    <t>IDMAIL</t>
  </si>
  <si>
    <t>MREMITENTE</t>
  </si>
  <si>
    <t>MREMITENTEEMAIL</t>
  </si>
  <si>
    <t>MASUNTO</t>
  </si>
  <si>
    <t>MCUERPO1</t>
  </si>
  <si>
    <t>DESCRIPCION</t>
  </si>
  <si>
    <t>MDESCRIPCION</t>
  </si>
  <si>
    <t>DONE</t>
  </si>
  <si>
    <t>ID</t>
  </si>
  <si>
    <t>Agilice</t>
  </si>
  <si>
    <t>enum</t>
  </si>
  <si>
    <t>MREMITENTEMAIL</t>
  </si>
  <si>
    <t>Entrega</t>
  </si>
  <si>
    <t>B2B Echeverria Izquierdo</t>
  </si>
  <si>
    <t>Alerta de envío de documento con parte relacionada. &lt;tipodoc&gt; N°&lt;numdoc&gt;</t>
  </si>
  <si>
    <t>Alerta de envío de documento con parte relacionada. [No justificado] &lt;tipodoc&gt; N°&lt;numdoc&gt;</t>
  </si>
  <si>
    <t>Cierre de Cotización</t>
  </si>
  <si>
    <t>Rechazo de solicitud de cancelación</t>
  </si>
  <si>
    <t>&lt;nombsitio&gt; solicitud para recuperación de contraseña</t>
  </si>
  <si>
    <t>Asunto: Aviso Subcontrato</t>
  </si>
  <si>
    <t>NUEVA OC SALFA - &lt;numoc&gt;</t>
  </si>
  <si>
    <t>Orden de Compra aprobada</t>
  </si>
  <si>
    <t>B2B Sonepar Chile</t>
  </si>
  <si>
    <t>b2bsoneparchile@iconstruye.com</t>
  </si>
  <si>
    <t>TANDA</t>
  </si>
  <si>
    <t>ASUNTO_A</t>
  </si>
  <si>
    <t>ASUNTO_R</t>
  </si>
  <si>
    <t>MCUERPO_A</t>
  </si>
  <si>
    <t>MCUERPO_R</t>
  </si>
  <si>
    <t>MREMITENTE_A</t>
  </si>
  <si>
    <t>M_REMITENTE_R</t>
  </si>
  <si>
    <t>Redmat</t>
  </si>
  <si>
    <t>¡Gracias por actualizar tu información! Ya puedes acceder con tu correo a AGILICE</t>
  </si>
  <si>
    <t>¡Gracias por actualizar tu información! Ya puedes acceder con tu correo a REDMAT</t>
  </si>
  <si>
    <t>Tipo</t>
  </si>
  <si>
    <t>Imagen</t>
  </si>
  <si>
    <t>URL</t>
  </si>
  <si>
    <t>Placeholder</t>
  </si>
  <si>
    <t>https://apps.agilice.com</t>
  </si>
  <si>
    <t>https://www.iconstruye.com</t>
  </si>
  <si>
    <t>OBS</t>
  </si>
  <si>
    <t>Comprobar mail mesadeayuda@agilice.com y @redmat; falta headeragilice redmat</t>
  </si>
  <si>
    <t>ICONSTRUYE</t>
  </si>
  <si>
    <t>AGILICE</t>
  </si>
  <si>
    <t>REDMAT</t>
  </si>
  <si>
    <t>https://cl.iconstruye.com/loginSso.aspx</t>
  </si>
  <si>
    <t>http://apps.agilice.com/loginsso.aspx</t>
  </si>
  <si>
    <t>https://redmat.iconstruye.com/loginsso.aspx</t>
  </si>
  <si>
    <t>https://redmat.iconstruye.com</t>
  </si>
  <si>
    <t>REEMPLAZO AGILICE</t>
  </si>
  <si>
    <t>REEMPLAZO REDMAT</t>
  </si>
  <si>
    <t>ORIGINAL</t>
  </si>
  <si>
    <t>#ff6b00</t>
  </si>
  <si>
    <t>#00A7E1</t>
  </si>
  <si>
    <t>#083F75</t>
  </si>
  <si>
    <t>https://diseno.iconstruye.cl/ic/desarrollando/configuracion-celula/mailing/img/header-generico.png</t>
  </si>
  <si>
    <t>mesadeayuda@agilice.com</t>
  </si>
  <si>
    <t>https://cl.iconstruye.com/images/FrameSuperior/logo_iConstruye.png</t>
  </si>
  <si>
    <t>https://apps.agilice.com/img/logo-agilice.png</t>
  </si>
  <si>
    <t>https://redmat.iconstruye.com/img/logo-redmat.png</t>
  </si>
  <si>
    <t>http://www.iconstruye.com</t>
  </si>
  <si>
    <t>http://cl.iconstruye.com/images/logo.jpg</t>
  </si>
  <si>
    <t>&lt;!DOCTYPE html PUBLIC "-//W3C//DTD XHTML 1.0 Transitional//EN" "http://www.w3.org/TR/xhtml1/DTD/xhtml1-transitional.dtd"&gt;&lt;html xmlns="http://www.w3.org/1999/xhtml"&gt;&lt;head&gt;&lt;meta name="viewport" content="width=device-width" /&gt;&lt;meta http-equiv="Content-Type" content="text/html; charset=UTF-8" /&gt;_x000D_
	&lt;title&gt;ICONSTRUYE&lt;/title&gt;_x000D_
	&lt;style type="text/css"&gt;* {margin: 0;font-family: "Helvetica Neue", Helvetica, Arial, sans-serif;box-sizing: border-box;font-size: 14px;}img {max-width: 100%;}body {-webkit-font-smoothing: antialiased;-webkit-text-size-adjust: none;width: 100% !important;height: 100%;line-height: 1.6em;}table td {vertical-align: top;}body {background-color: #f6f6f6;}.body-wrap {background-color: #f6f6f6;width: 100%;}.container {display: block !important;max-width: 600px !important;margin: 0 auto !important;clear: both !important;}.content {max-width: 600px;margin: 0 auto;display: block;padding: 20px;}.main {background-color: #fff;border-bottom: 2px solid #EAEAEA;border-radius: 3px;}.content-wrap {padding: 15px 20px;}.content-block {padding: 0 0 20px;}.header {width: 100%;margin-bottom: 20px;}.pre-footer {width: 100%;clear: both;color: #333;padding: 20px 0px;}.footer {width: 100%;clear: both;color: #999;padding: 15px;}.footer p, .footer a, .footer td {color: #999;font-size: 11px;}.resume-box {background: #FFF0E5;}h1, h2, h3 {color: #000;margin: 20px 0 0;line-height: 1.2em;font-weight: 400;}h1 {font-size: 20px;font-weight: 500;}h2 {font-size: 24px;}h3 {font-size: 18px;}h4 {font-size: 14px;font-weight: 600;}p, ul, ol {margin-bottom: 10px;font-weight: normal;}p li, ul li, ol li {margin-left: 5px;list-style-position: inside;line-height: 1.3em;}a {color: #348eda;text-decoration: underline;}.btn-primary {background:#FF6B00; color:#fff !important; padding:10px 20px; text-decoration: none; border-radius:8px; margin: 10px 0;display:inline-block;font-size: 1.1em;font-weight:bold;line-height: 23px;}.aligncenter {text-align: center;}.alignright {text-align: right;}.alignleft {text-align: left;}.clear {clear: both;}@media only screen and (max-width: 480px) {body {  padding: 0 !important;}h1, h2, h3, h4 { margin: 20px 0 5px !important;}h1 {  font-size: 22px !important;}h2 {  font-size: 18px !important;}h3 {  font-size: 16px !important;}.container {  padding: 0 !important;  width: 100% !important;}.content {  padding: 0 !important;}.content-wrap {  padding: 15px !important;}.mcnImage {max-width:100% !important;width:100% !important;} .img-app{margin-bottom: 10px;} table#banner td.w50{width: 50%;}a.button{width: 70px; margin-bottom: 10px;}span.sub-text{font-size: 16px;}}.sub-text{font-size: 18px;}a.button {_x000D_
    text-decoration: none;_x000D_
}.img-app{border: 1px solid #ff6b00;_x000D_
    border-radius:8px;_x000D_
    padding:5px 20px;_x000D_
  	width:140px;_x000D_
  	height: auto;_x000D_
  	margin-right: 10px;_x000D_
  	cursor: pointer;}&lt;/style&gt;_x000D_
&lt;/head&gt;_x000D_
&lt;body itemscope itemtype="http://schema.org/EmailMessage"&gt;_x000D_
	&lt;table class="body-wrap"&gt;_x000D_
		&lt;tr&gt;_x000D_
			&lt;td&gt;&lt;/td&gt;_x000D_
			&lt;td class="container" width="600"&gt;_x000D_
				&lt;table class="main" width="100%" cellpadding="0" cellspacing="0"&gt;_x000D_
					&lt;tr&gt;_x000D_
						&lt;td&gt;_x000D_
							&lt;table class="main" width="100%" cellpadding="0" cellspacing="0"&gt;_x000D_
								&lt;tr&gt;_x000D_
									&lt;td valign="top"&gt;_x000D_
										&lt;img align="center" alt="" src="http://diseno.iconstruye.cl/ic/desarrollando/configuracion-celula/mailing/img/header-generico.png" width="600" style="max-width: 600px;padding-bottom: 0;display: inline !important;vertical-align: bottom;border: 0;height: auto;outline: none;text-decoration: none;-ms-interpolation-mode: bicubic;" class="mcnImage"&gt;_x000D_
									&lt;/td&gt;_x000D_
								&lt;/tr&gt;_x000D_
							&lt;/table&gt;_x000D_
							&lt;div class="content-wrap"&gt;_x000D_
								&lt;table width="100%" cellpadding="0" cellspacing="0"&gt;_x000D_
									&lt;tr&gt;_x000D_
										&lt;td class="content-block" colspan="2"&gt;_x000D_
											&lt;h4&gt;&lt;b&gt;¡Datos actualizados correctamente!&lt;/b&gt;&lt;/h4&gt;_x000D_
										&lt;/td&gt;_x000D_
									&lt;/tr&gt;_x000D_
									&lt;tr&gt;_x000D_
										&lt;td class="content-block"&gt;_x000D_
											&lt;hr style="border-top: 1px solid #FF3C00;border-bottom: none;"&gt;_x000D_
										&lt;/td&gt;_x000D_
									&lt;/tr&gt;_x000D_
									&lt;tr&gt;_x000D_
										&lt;td colspan="2"&gt; _x000D_
											&lt;p style="color:#000"&gt;Hola &lt;b&gt;&lt;nombre_usuario&gt;&lt;/b&gt;,&lt;br&gt;&lt;/p&gt;_x000D_
										&lt;/td&gt;_x000D_
									&lt;/tr&gt;_x000D_
									&lt;tr&gt;&lt;td&gt;&amp;nbsp;&lt;/td&gt;&lt;/tr&gt;_x000D_
									&lt;tr&gt;&lt;td&gt;&lt;h5&gt;¡Gracias por actualizar tus datos!&lt;/h5&gt;&lt;/td&gt;&lt;/tr&gt;_x000D_
									&lt;tr&gt;&lt;td&gt;&amp;nbsp;&lt;/td&gt;&lt;/tr&gt;_x000D_
									&lt;tr&gt;&lt;td&gt;&lt;p&gt;Ya puedes acceder a ICONSTRUYE con tu cuenta de correo electrónico &lt;correo_usuario&gt; y contraseña&lt;/p&gt;&lt;/td&gt;&lt;/tr&gt;_x000D_
									&lt;tr&gt;&lt;td&gt;&amp;nbsp;&lt;/td&gt;&lt;/tr&gt;_x000D_
									&lt;tr&gt;&lt;td&gt;Si olvidaste tu contraseña puedes recuperarla &lt;a href="https://cl.iconstruye.com/loginSso.aspx"&gt;aqui&lt;/a&gt;&lt;/td&gt;&lt;/tr&gt;_x000D_
									&lt;tr&gt;&lt;td&gt;&amp;nbsp;&lt;/td&gt;&lt;/tr&gt;_x000D_
									&lt;tr class="aligncenter"&gt;_x000D_
      									&lt;td&gt;_x000D_
      										&lt;a href="https://www.iconstruye.com" class="btn-primary"&gt;Ingresa a ICONSTRUYE&lt;/a&gt;_x000D_
      									&lt;/td&gt;_x000D_
      								&lt;/tr&gt;_x000D_
      																&lt;tr&gt;&lt;td&gt;&amp;nbsp;&lt;/td&gt;&lt;/tr&gt;_x000D_
      								&lt;tr&gt;&lt;td&gt;&lt;p&gt;Si tienes alguna duda comunícate con nosotros por correo electrónico a mesadeayuda@iconstruye.com&lt;/p&gt;&lt;/td&gt;&lt;/tr&gt;_x000D_
								&lt;/table&gt;_x000D_
							&lt;/div&gt;_x000D_
							&lt;div class="content-wrap"&gt;_x000D_
								&lt;table width="100%" cellspacing="0" cellpadding="0"&gt;_x000D_
									&lt;tr&gt;_x000D_
										&lt;td class="content-block"&gt;&lt;p style="color:#000"&gt;Saluda atentamente&lt;br&gt;&lt;b style="color:#000"&gt;Equipo ICONSTRUYE &lt;br&gt;&lt;span style="color: #FF6B00;"&gt;ICONSTRUYE®&lt;/span&gt;&lt;/b&gt;&lt;/p&gt;_x000D_
										&lt;/td&gt;_x000D_
									&lt;/tr&gt;_x000D_
								&lt;/table&gt;_x000D_
							&lt;/div&gt;_x000D_
							&lt;/td&gt;_x000D_
						&lt;/tr&gt;_x000D_
					&lt;/table&gt;_x000D_
							&lt;div class="pre-footer"&gt;_x000D_
								&lt;table id="banner" width="100%" style="background-color: #fff; padding: 15px 20px"&gt;_x000D_
									&lt;tr&gt;_x000D_
										&lt;td class="w50"&gt;_x000D_
											&lt;p&gt;Ahora que posees una cuenta,&lt;br&gt;&lt;b&gt;descarga nuestra App mobile&lt;/b&gt;&lt;/p&gt;_x000D_
										&lt;/td&gt;_x000D_
										&lt;td class="alignright"&gt;_x000D_
											&lt;a href="https://play.google.com/store/apps/details?id=iConstruye.Mobile&amp;hl=es_CL&amp;gl=US" target="_blank"&gt;&lt;img align="center" alt="" src="http://diseno.iconstruye.cl//mailing/templates/img/google-play.png" width="100" class="img-app"&gt;&lt;/a&gt;_x000D_
											&lt;a href="https://apps.apple.com/cl/app/iconstruye/id1408881055" target="_blank"&gt;&lt;img align="center" alt="" src="http://diseno.iconstruye.cl//mailing/templates/img/app-store.png" class="img-app"&gt;&lt;/a&gt;_x000D_
										&lt;/td&gt;_x000D_
									&lt;/tr&gt;_x000D_
								&lt;/table&gt;_x000D_
							&lt;/div&gt;_x000D_
							&lt;div class="footer"&gt;_x000D_
								&lt;table width="100%"&gt;_x000D_
									&lt;tr&gt;_x000D_
										&lt;td class="aligncenter content-block"&gt;_x000D_
											&lt;em style="font-size: 12px !important;"&gt;Correo enviado a través de &lt;a href="https://www.iconstruye.com" style="color: #ff6b00;"&gt;ICONSTRUYE&lt;/a&gt;®&amp;nbsp;·_x000D_
        									Copyright ©&amp;nbsp; Todos los Derechos Reservados&lt;/em&gt;&lt;br&gt;_x000D_
										&lt;/td&gt;_x000D_
									&lt;/tr&gt;_x000D_
								&lt;/table&gt;_x000D_
							&lt;/div&gt;_x000D_
							&lt;/td&gt;_x000D_
							&lt;td&gt;_x000D_
							&lt;/td&gt;_x000D_
						&lt;/tr&gt;_x000D_
					&lt;/table&gt;_x000D_
					&lt;/body&gt;_x000D_
					&lt;/html&gt;</t>
  </si>
  <si>
    <t>Tiene documentos pendientes de aprobación</t>
  </si>
  <si>
    <t>&lt;div&gt; &lt;div id="header"&gt; &lt;img align="center" alt="" src="http://diseno.iconstruye.cl/mailing//marketplace-proveedores/header-generico.png" width="600" style="max-width: 600px;padding-bottom: 0;display: inline !important;vertical-align: bottom;border: 0;height: auto;outline: none;text-decoration: none;-ms-interpolation-mode: bicubic;" class="mcnImage"&gt; &lt;/div&gt; &lt;div id="center" style="margin-top: 10px; padding-left:15px;"&gt; &lt;span style="font-family:open sans,helvetica neue,helvetica,arial,sans-serif; "&gt;&lt;span style="font-size:14px"&gt;Estimado &lt;strong&gt;&lt;NombreUsuario&gt;&lt;/strong&gt;,&lt;br&gt;&lt;br&gt; Estos son los documentos pendientes de aprobación del usuario &lt;NombreUsuarioSuplido&gt; a la fecha.&lt;/b&gt;&lt;/span&gt; &lt;/div&gt; &lt;div style="margin-bottom: 20px;"&gt; &lt;tablaDocumentosPendiente&gt; &lt;/div&gt; &lt;div style="padding: 15px;"&gt; Atte.&lt;br&gt; Equipo iconstruye &lt;/div&gt; &lt;/div&gt;</t>
  </si>
  <si>
    <t>Documentos pendientes</t>
  </si>
  <si>
    <t>agilice@agilice.com</t>
  </si>
  <si>
    <t>&lt;!DOCTYPE html PUBLIC "-//W3C//DTD XHTML 1.0 Transitional//EN" "http://www.w3.org/TR/xhtml1/DTD/xhtml1-transitional.dtd"&gt;&lt;html xmlns="http://www.w3.org/1999/xhtml"&gt;&lt;head&gt;&lt;meta name="viewport" content="width=device-width" /&gt;&lt;meta http-equiv="Content-Type" content="text/html; charset=UTF-8" /&gt;_x000D_
	&lt;title&gt;AGILICE&lt;/title&gt;_x000D_
	&lt;style type="text/css"&gt;* {margin: 0;font-family: "Helvetica Neue", Helvetica, Arial, sans-serif;box-sizing: border-box;font-size: 14px;}img {max-width: 100%;}body {-webkit-font-smoothing: antialiased;-webkit-text-size-adjust: none;width: 100% !important;height: 100%;line-height: 1.6em;}table td {vertical-align: top;}body {background-color: #f6f6f6;}.body-wrap {background-color: #f6f6f6;width: 100%;}.container {display: block !important;max-width: 600px !important;margin: 0 auto !important;clear: both !important;}.content {max-width: 600px;margin: 0 auto;display: block;padding: 20px;}.main {background-color: #fff;border-bottom: 2px solid #EAEAEA;border-radius: 3px;}.content-wrap {padding: 15px 20px;}.content-block {padding: 0 0 20px;}.header {width: 100%;margin-bottom: 20px;}.pre-footer {width: 100%;clear: both;color: #333;padding: 20px 0px;}.footer {width: 100%;clear: both;color: #999;padding: 15px;}.footer p, .footer a, .footer td {color: #999;font-size: 11px;}.resume-box {background: #FFF0E5;}h1, h2, h3 {color: #000;margin: 20px 0 0;line-height: 1.2em;font-weight: 400;}h1 {font-size: 20px;font-weight: 500;}h2 {font-size: 24px;}h3 {font-size: 18px;}h4 {font-size: 14px;font-weight: 600;}p, ul, ol {margin-bottom: 10px;font-weight: normal;}p li, ul li, ol li {margin-left: 5px;list-style-position: inside;line-height: 1.3em;}a {color: #348eda;text-decoration: underline;}.btn-primary {background:#00a7e1;color:#fff !important; padding:10px 20px; text-decoration: none; border-radius:8px; margin: 10px 0;display:inline-block;font-size: 1.1em;font-weight:bold;line-height: 23px;}.aligncenter {text-align: center;}.alignright {text-align: right;}.alignleft {text-align: left;}.clear {clear: both;}@media only screen and (max-width: 480px) {body {  padding: 0 !important;}h1, h2, h3, h4 { margin: 20px 0 5px !important;}h1 {  font-size: 22px !important;}h2 {  font-size: 18px !important;}h3 {  font-size: 16px !important;}.container {  padding: 0 !important;  width: 100% !important;}.content {  padding: 0 !important;}.content-wrap {  padding: 15px !important;}.mcnImage {max-width:100% !important;width:100% !important;} .img-app{margin-bottom: 10px;} table#banner td.w50{width: 50%;}a.button{width: 70px; margin-bottom: 10px;}span.sub-text{font-size: 16px;}}.sub-text{font-size: 18px;}a.button {_x000D_
    text-decoration: none;_x000D_
}.img-app{border: 1px solid #ff6b00;_x000D_
    border-radius:8px;_x000D_
    padding:5px 20px;_x000D_
  	width:140px;_x000D_
  	height: auto;_x000D_
  	margin-right: 10px;_x000D_
  	cursor: pointer;}&lt;/style&gt;_x000D_
&lt;/head&gt;_x000D_
&lt;body itemscope itemtype="http://schema.org/EmailMessage"&gt;_x000D_
	&lt;table class="body-wrap"&gt;_x000D_
		&lt;tr&gt;_x000D_
			&lt;td&gt;&lt;/td&gt;_x000D_
			&lt;td class="container" width="600"&gt;_x000D_
				&lt;table class="main" width="100%" cellpadding="0" cellspacing="0"&gt;_x000D_
					&lt;tr&gt;_x000D_
						&lt;td&gt;_x000D_
							&lt;table class="main" width="100%" cellpadding="0" cellspacing="0"&gt;_x000D_
								&lt;tr&gt;_x000D_
									&lt;td id="header" valign="top"&gt;_x000D_
										&lt;img align="center" alt="" src="https://www.agilice.com/hubfs/Logo%20Agilice.svg" width="300" style="max-width: 600px;padding-bottom: 0;display: inline !important;vertical-align: bottom;border: 0;height: auto;outline: none;text-decoration: none;-ms-interpolation-mode: bicubic;" class="mcnImage"&gt;_x000D_
									&lt;/td&gt;_x000D_
								&lt;/tr&gt;_x000D_
							&lt;/table&gt;_x000D_
							&lt;div class="content-wrap"&gt;_x000D_
								&lt;table width="100%" cellpadding="0" cellspacing="0"&gt;_x000D_
									&lt;tr&gt;_x000D_
										&lt;td class="content-block" colspan="2"&gt;_x000D_
											&lt;h4&gt;&lt;b&gt;¡Datos actualizados correctamente!&lt;/b&gt;&lt;/h4&gt;_x000D_
										&lt;/td&gt;_x000D_
									&lt;/tr&gt;_x000D_
									&lt;tr&gt;_x000D_
										&lt;td class="content-block"&gt;_x000D_
											&lt;hr style="border-top: 1px solid #00a7e1;border-bottom: none;"&gt;_x000D_
										&lt;/td&gt;_x000D_
									&lt;/tr&gt;_x000D_
									&lt;tr&gt;_x000D_
										&lt;td colspan="2"&gt; _x000D_
											&lt;p style="color:#000"&gt;Hola &lt;b&gt;&lt;nombre_usuario&gt;&lt;/b&gt;,&lt;br&gt;&lt;/p&gt;_x000D_
										&lt;/td&gt;_x000D_
									&lt;/tr&gt;_x000D_
									&lt;tr&gt;&lt;td&gt;&amp;nbsp;&lt;/td&gt;&lt;/tr&gt;_x000D_
									&lt;tr&gt;&lt;td&gt;&lt;h5&gt;¡Gracias por actualizar tus datos!&lt;/h5&gt;&lt;/td&gt;&lt;/tr&gt;_x000D_
									&lt;tr&gt;&lt;td&gt;&amp;nbsp;&lt;/td&gt;&lt;/tr&gt;_x000D_
									&lt;tr&gt;&lt;td&gt;&lt;p&gt;Ya puedes acceder a AGILICE con tu cuenta de correo electrónico &lt;correo_usuario&gt; y contraseña&lt;/p&gt;&lt;/td&gt;&lt;/tr&gt;_x000D_
									&lt;tr&gt;&lt;td&gt;&amp;nbsp;&lt;/td&gt;&lt;/tr&gt;_x000D_
									&lt;tr&gt;&lt;td&gt;Si olvidaste tu contraseña puedes recuperarla &lt;a href="https://beta.agilice.cl/login"&gt;aqui&lt;/a&gt;&lt;/td&gt;&lt;/tr&gt;_x000D_
									&lt;tr&gt;&lt;td&gt;&amp;nbsp;&lt;/td&gt;&lt;/tr&gt;_x000D_
									&lt;tr class="aligncenter"&gt;_x000D_
      									&lt;td&gt;_x000D_
      										&lt;a href="https://www.agilice.com/" class="btn-primary"&gt;Ingresa a AGILICE&lt;/a&gt;_x000D_
      									&lt;/td&gt;_x000D_
      								&lt;/tr&gt;_x000D_
      																&lt;tr&gt;&lt;td&gt;&amp;nbsp;&lt;/td&gt;&lt;/tr&gt;_x000D_
      								&lt;tr&gt;&lt;td&gt;&lt;p&gt;Si tienes alguna duda comunícate con nosotros por correo electrónico a mesadeayuda@agilice.com&lt;/p&gt;&lt;/td&gt;&lt;/tr&gt;_x000D_
								&lt;/table&gt;_x000D_
							&lt;/div&gt;_x000D_
							&lt;div class="content-wrap"&gt;_x000D_
								&lt;table width="100%" cellspacing="0" cellpadding="0"&gt;_x000D_
									&lt;tr&gt;_x000D_
										&lt;td class="content-block"&gt;&lt;p style="color:#000"&gt;Saluda atentamente&lt;br&gt;&lt;b style="color:#000"&gt;Equipo AGILICE &lt;br&gt;&lt;span style="color: #00a7e1;"&gt;AGILICE®&lt;/span&gt;&lt;/b&gt;&lt;/p&gt;_x000D_
										&lt;/td&gt;_x000D_
									&lt;/tr&gt;_x000D_
								&lt;/table&gt;_x000D_
							&lt;/div&gt;_x000D_
							&lt;/td&gt;_x000D_
						&lt;/tr&gt;_x000D_
					&lt;/table&gt;_x000D_
					&lt;div id="footer"&gt;_x000D_
						&lt;div class="pre-footer"&gt;_x000D_
								&lt;table id="banner" width="100%" style="background-color: #fff; padding: 15px 20px"&gt;_x000D_
									&lt;tr&gt;_x000D_
										&lt;td class="w50"&gt;_x000D_
											&lt;p&gt;Ahora que posees una cuenta,&lt;br&gt;&lt;b&gt;descarga nuestra App mobile&lt;/b&gt;&lt;/p&gt;_x000D_
										&lt;/td&gt;_x000D_
										&lt;td class="alignright"&gt;_x000D_
											&lt;a href="https://play.google.com/store/apps/details?id=iConstruye.Mobile&amp;hl=es_CL&amp;gl=US" target="_blank"&gt;&lt;img align="center" alt="" src="http://diseno.iconstruye.cl//mailing/templates/img/google-play.png" width="100" class="img-app"&gt;&lt;/a&gt;_x000D_
											&lt;a href="https://apps.apple.com/cl/app/iconstruye/id1408881055" target="_blank"&gt;&lt;img align="center" alt="" src="http://diseno.iconstruye.cl//mailing/templates/img/app-store.png" class="img-app"&gt;&lt;/a&gt;_x000D_
										&lt;/td&gt;_x000D_
									&lt;/tr&gt;_x000D_
								&lt;/table&gt;_x000D_
							&lt;/div&gt;_x000D_
							&lt;div class="footer"&gt;_x000D_
								&lt;table width="100%"&gt;_x000D_
									&lt;tr&gt;_x000D_
										&lt;td class="aligncenter content-block"&gt;_x000D_
											&lt;em style="font-size: 12px !important;"&gt;Correo enviado a través de &lt;a href="https://www.agilice.com/" style="color: #00a7e1;"&gt;AGILICE&lt;/a&gt;®&amp;nbsp;·_x000D_
        									Copyright ©&amp;nbsp; Todos los Derechos Reservados&lt;/em&gt;&lt;br&gt;_x000D_
										&lt;/td&gt;_x000D_
									&lt;/tr&gt;_x000D_
								&lt;/table&gt;_x000D_
							&lt;/div&gt;_x000D_
							&lt;/div&gt;_x000D_
							&lt;/td&gt;_x000D_
							&lt;td&gt;_x000D_
							&lt;/td&gt;_x000D_
						&lt;/tr&gt;_x000D_
					&lt;/table&gt;_x000D_
					&lt;/body&gt;_x000D_
					&lt;/html&gt;</t>
  </si>
  <si>
    <t>presupuesto_ic@agilice.com</t>
  </si>
  <si>
    <t xml:space="preserve">_x000D_
&lt;!DOCTYPE html&gt;_x000D_
&lt;html lang="en"&gt;_x000D_
&lt;head&gt;_x000D_
&lt;meta http-equiv="Content-Type" content="text/html; charset=UTF-8"&gt;_x000D_
&lt;meta name="viewport" content="width=device-width, initial-scale=1"&gt;_x000D_
&lt;meta http-equiv="X-UA-Compatible" content="IE=edge"&gt;_x000D_
&lt;style type="text/css"&gt;_x000D_
body, table, td, a { -webkit-text-size-adjust: 100%; -ms-text-size-adjust: 100%; font-family: Helvetica, sans-serif; font-weight: 300; color: #333333; font-size: 14px;}_x000D_
&lt;/style&gt;_x000D_
&lt;/head&gt;_x000D_
&lt;body style="margin:0; padding:0; background-color:#fff;"&gt;_x000D_
&lt;span style="display: block; width: 640px !important; max-width: 640px; height: 1px" class="mobileOff"&gt;&lt;/span&gt;_x000D_
&lt;center&gt;_x000D_
&lt;table width="100%" border="0" cellpadding="0" cellspacing="0" bgcolor="#ffffff"&gt;_x000D_
&lt;tr&gt;_x000D_
&lt;td align="center" valign="top"&gt;_x000D_
&lt;table width="640" cellpadding="0" cellspacing="0" border="0" class="wrapper" bgcolor="#FFF"&gt;_x000D_
&lt;tr&gt;_x000D_
&lt;td align="center" valign="top"&gt;_x000D_
&lt;table width="100%" cellpadding="0" cellspacing="0" border="0" class="container"&gt;_x000D_
&lt;tr&gt;_x000D_
&lt;td height="20" style="font-size:10px; line-height:20px;"&gt;&amp;nbsp;&lt;/td&gt;_x000D_
&lt;/tr&gt;_x000D_
&lt;tr&gt;_x000D_
&lt;td class="mobile" align="center" valign="middle" style="padding:10px; text-align:center;"&gt;_x000D_
&lt;div id="header"&gt;_x000D_
&lt;img style="width:300px" class="logo" src="https://www.agilice.com/hubfs/Logo%20Agilice.svg"&gt;_x000D_
&lt;/div&gt;_x000D_
&lt;/td&gt;_x000D_
&lt;/tr&gt;_x000D_
&lt;/table&gt;_x000D_
&lt;/td&gt;_x000D_
&lt;/tr&gt;_x000D_
&lt;/table&gt;_x000D_
&lt;table width="640" cellpadding="0" cellspacing="0" border="0" class="wrapper" bgcolor="#FFFFFF"&gt;_x000D_
&lt;tr&gt;_x000D_
&lt;td align="center" valign="top" style="padding: 0;"&gt;_x000D_
&lt;table width="100%" cellpadding="0" cellspacing="0" border="0" class="container"&gt;_x000D_
&lt;tr&gt;_x000D_
&lt;td align="left" valign="middle" height="90"&gt;_x000D_
&lt;h3 style="font-size: 2em; font-weight: 300; color: #333333; -webkit-margin-before: 1em; -webkit-margin-after: 0.5em; text-align:center;"&gt;Documento pendiente de aprobación por Presupuesto Anualizado&lt;/h3&gt;_x000D_
&lt;/td&gt;_x000D_
&lt;/tr&gt;_x000D_
&lt;/table&gt;_x000D_
&lt;/td&gt;_x000D_
&lt;/tr&gt;_x000D_
&lt;/table&gt;_x000D_
&lt;table width="640" cellpadding="0" cellspacing="0" border="0" class="wrapper" bgcolor="#FFFFFF"&gt;_x000D_
&lt;tr&gt;_x000D_
&lt;td align="center" valign="top" style="padding: 0;"&gt;_x000D_
&lt;table width="100%" cellpadding="0" cellspacing="0" border="0" class="container"&gt;_x000D_
&lt;tr&gt;_x000D_
&lt;td class="mobile" align="left" valign="top"&gt;_x000D_
&lt;p style=" font-size: 1.1em; line-height: 1.7em; text-align: left;"&gt;&lt;strong&gt;&lt;NombreUsuarioAprobador&gt;&lt;/strong&gt;, te informamos que el documento N° &lt;strong&gt;&lt;NumeroDocumento&gt;&lt;/strong&gt; se encuentra creado con fecha &lt;strong&gt;&lt;FechaMovimiento&gt;&lt;/strong&gt; y está en espera de tu aprobación en el Centro de Gestión &lt;strong&gt;&lt;CentroGestion&gt;&lt;/strong&gt;.&lt;/p&gt;_x000D_
&lt;ul style="margin:0;padding:0;list-style-type:none;line-height:30px;" class="data-list"&gt;_x000D_
&lt;li style="border-bottom:1px solid #eee;"&gt;&lt;span style="width:30%;display:inline-block;"&gt;Tipo de Documento:&lt;/span&gt; &lt;strong&gt;&lt;TipoDocumento&gt;&lt;/strong&gt;&lt;/li&gt;_x000D_
&lt;li style="border-bottom:1px solid #eee;"&gt;&lt;span style="width:30%;display:inline-block;"&gt;Nombre de Documento:&lt;/span&gt; &lt;strong&gt;&lt;NombreDocumento&gt;&lt;/strong&gt;&lt;/li&gt;_x000D_
&lt;li style="border-bottom:1px solid #eee;"&gt;&lt;span style="width:30%;display:inline-block;"&gt;Solicitante:&lt;/span&gt; &lt;strong&gt;&lt;NombreUsuarioSolicitante&gt;&lt;/strong&gt;&lt;/li&gt;_x000D_
&lt;li style="border-bottom:1px solid #eee;"&gt;&lt;span style="width:30%;display:inline-block;"&gt;Monto:&lt;/span&gt; &lt;strong&gt;&lt;Monto&gt;&lt;/strong&gt;&lt;/li&gt;_x000D_
&lt;/ul&gt;_x000D_
&lt;/td&gt;_x000D_
&lt;/tr&gt;_x000D_
&lt;/table&gt;_x000D_
&lt;/td&gt;_x000D_
&lt;/tr&gt;_x000D_
&lt;/table&gt;_x000D_
&lt;table width="640" cellpadding="0" cellspacing="0" border="0" class="wrapper" bgcolor="#FFFFFF"&gt;_x000D_
&lt;tr&gt;_x000D_
&lt;td height="10" style="font-size:10px; line-height:10px;"&gt;&amp;nbsp;&lt;/td&gt;_x000D_
&lt;/tr&gt;_x000D_
&lt;tr&gt;_x000D_
&lt;td align="center" valign="top" style="padding: 10px 0;"&gt;_x000D_
&lt;table width="100%" cellpadding="0" cellspacing="0" border="0" class="container"&gt;_x000D_
&lt;tr&gt;_x000D_
&lt;td class="mobile" align="left" valign="top"&gt;_x000D_
&lt;p style=" font-size: 1.1em; line-height: 1.7em; text-align: left; margin-bottom: 30px;"&gt;Consulta el estado de todos tus documentos en la sección "Presupuesto / Presupuesto Anualizado / Aprobar Documentos".&lt;/p&gt;_x000D_
&lt;/td&gt;_x000D_
&lt;/tr&gt;_x000D_
&lt;tr&gt;_x000D_
&lt;td class="mobile" align="center" valign="top"&gt;_x000D_
&lt;a href="https://www.agilice.com/" style="background:#00a7e1; color:#fff; padding:10px 20px; text-decoration: none; border-radius:2px; margin: 10px 0;display:inline-block;font-size: 1.1em;font-weight: 400;line-height: 23px;"&gt;Ir a agilice.com&lt;/a&gt;_x000D_
&lt;/td&gt;_x000D_
&lt;/tr&gt;_x000D_
&lt;tr&gt;_x000D_
&lt;td height="20" style="font-size:10px; line-height:10px;"&gt;&amp;nbsp;&lt;/td&gt;_x000D_
&lt;/tr&gt;_x000D_
&lt;/table&gt;_x000D_
&lt;/td&gt;_x000D_
&lt;/tr&gt;_x000D_
&lt;/table&gt;_x000D_
&lt;table width="640" cellpadding="0" cellspacing="0" border="0" class="wrapper" bgcolor="#F2F2F2"&gt;_x000D_
&lt;tr&gt;_x000D_
&lt;td class="mobile footer" align="center" valign="middle" style="padding:5px 10px;"&gt;_x000D_
&lt;div id="footer" style="width:300px"&gt;_x000D_
&lt;img src="https://www.agilice.com/hubfs/Logo%20Agilice.svg"&gt;_x000D_
&lt;/div&gt;_x000D_
&lt;/td&gt;_x000D_
&lt;/tr&gt;_x000D_
&lt;tr&gt;_x000D_
&lt;td align="center" valign="top"&gt;_x000D_
&lt;table width="100%" cellpadding="0" cellspacing="0" border="0" class="container"&gt;_x000D_
&lt;tr&gt;_x000D_
&lt;td class="mobile footer" align="center" valign="top"&gt;_x000D_
&lt;p style="line-height: 1.5em; font-size: 11px; text-align: center; color: #999999;"&gt;Correo enviado a trav&amp;eacute;s de agilice | Todos los Derechos Reservados&lt;br /&gt;&lt;/p&gt;_x000D_
&lt;/td&gt;_x000D_
&lt;/tr&gt;_x000D_
&lt;/table&gt;_x000D_
&lt;/td&gt;_x000D_
&lt;/tr&gt;_x000D_
&lt;/table&gt;  _x000D_
&lt;/td&gt;_x000D_
&lt;/tr&gt;_x000D_
&lt;/table&gt;_x000D_
&lt;/center&gt;_x000D_
&lt;/body&gt;_x000D_
&lt;/html&gt;_x000D_
		 </t>
  </si>
  <si>
    <t xml:space="preserve">_x000D_
&lt;!DOCTYPE html&gt;_x000D_
&lt;html lang="en"&gt;_x000D_
&lt;head&gt;_x000D_
&lt;meta http-equiv="Content-Type" content="text/html; charset=UTF-8"&gt;_x000D_
&lt;meta name="viewport" content="width=device-width, initial-scale=1"&gt;_x000D_
&lt;meta http-equiv="X-UA-Compatible" content="IE=edge"&gt;_x000D_
&lt;style type="text/css"&gt;_x000D_
body, table, td, a { -webkit-text-size-adjust: 100%; -ms-text-size-adjust: 100%; font-family: Helvetica, sans-serif; font-weight: 300; color: #333333; font-size: 14px;}_x000D_
&lt;/style&gt;    _x000D_
&lt;/head&gt;_x000D_
&lt;body style="margin:0; padding:0; background-color:#fff;"&gt;_x000D_
&lt;span style="display: block; width: 840px !important; max-width: 840px; height: 1px" class="mobileOff"&gt;&lt;/span&gt;_x000D_
&lt;center&gt;_x000D_
&lt;table width="100%" border="0" cellpadding="0" cellspacing="0" bgcolor="#ffffff"&gt;_x000D_
&lt;tr&gt;_x000D_
&lt;td align="center" valign="top"&gt;_x000D_
&lt;table width="840" cellpadding="0" cellspacing="0" border="0" class="wrapper" bgcolor="#FFF"&gt;_x000D_
&lt;tr&gt;_x000D_
&lt;td align="center" valign="top"&gt;_x000D_
&lt;table width="800" cellpadding="0" cellspacing="0" border="0" class="container"&gt;_x000D_
&lt;tr&gt;_x000D_
&lt;td class="mobile" align="center" valign="middle" style="padding:10px;"&gt;_x000D_
&lt;div id="header" style="width:300px;"&gt;_x000D_
&lt;img class="logo" src="https://www.agilice.com/hubfs/Logo%20Agilice.svg"&gt;_x000D_
&lt;/div&gt;_x000D_
&lt;/td&gt;_x000D_
&lt;/tr&gt;_x000D_
&lt;/table&gt;_x000D_
&lt;/td&gt;_x000D_
&lt;/tr&gt;_x000D_
&lt;/table&gt;_x000D_
&lt;table width="840" cellpadding="0" cellspacing="0" border="0" class="wrapper" bgcolor="#FFFFFF"&gt;_x000D_
&lt;tr&gt;_x000D_
&lt;td align="center" valign="top" style="padding: 0;"&gt;_x000D_
&lt;table width="800" cellpadding="0" cellspacing="0" border="0" class="container"&gt;_x000D_
&lt;tr&gt;_x000D_
&lt;td align="left" valign="middle" height="90"&gt;_x000D_
&lt;h3 style="font-size: 2em; font-weight: 300; color: #333333; -webkit-margin-before: 1em; -webkit-margin-after: 0.5em; text-align:center;"&gt;Cuenta de costo &lt;strong&gt;excedida en presupuesto&lt;/strong&gt;&lt;/h3&gt;_x000D_
&lt;/td&gt;_x000D_
&lt;/tr&gt;_x000D_
&lt;/table&gt;_x000D_
&lt;/td&gt;_x000D_
&lt;/tr&gt;_x000D_
&lt;/table&gt;_x000D_
&lt;table width="840" cellpadding="0" cellspacing="0" border="0" class="wrapper" bgcolor="#FFFFFF"&gt;_x000D_
&lt;tr&gt;_x000D_
&lt;td align="center" valign="top" style="padding: 0;"&gt;_x000D_
&lt;table width="800" cellpadding="0" cellspacing="0" border="0" class="container"&gt;_x000D_
&lt;tr&gt;_x000D_
&lt;td class="mobile" align="left" valign="top"&gt;_x000D_
&lt;p style=" font-size: 1.1em; line-height: 1.7em; text-align: justify;"&gt;Estimado(a) Usuario, te informamos que las siguientes Cuentas de Costos han excedido el monto presupuestado en el Centro de Gestión &lt;strong&gt;&lt;CentroGestion&gt;&lt;/strong&gt;:&lt;/p&gt;_x000D_
&lt;/td&gt;_x000D_
&lt;/tr&gt;_x000D_
&lt;/table&gt;_x000D_
&lt;/td&gt;_x000D_
&lt;/tr&gt;_x000D_
&lt;/table&gt;_x000D_
&lt;table width="800" cellpadding="0" cellspacing="0" border="0" class="wrapper" bgcolor="#fff" style="border-top: 1px solid #fff;"&gt;_x000D_
&lt;tr&gt;_x000D_
&lt;td height="10" style="font-size:10px; line-height:10px;"&gt;&amp;nbsp;&lt;/td&gt;_x000D_
&lt;/tr&gt;_x000D_
&lt;tr&gt;_x000D_
&lt;td align="center" valign="top" style="border-bottom: 1px solid #fff;"&gt;_x000D_
&lt;table width="100%" cellpadding="0" cellspacing="0" border="0" class="adaptative" bgcolor="#fff"&gt;_x000D_
&lt;thead&gt;_x000D_
&lt;tr bgcolor="#fff"&gt;_x000D_
&lt;td align="left" valign="top" style=" border-bottom:1px solid #eee; padding:0 10px; vertical-align: middle;" width="22%"&gt;_x000D_
&lt;h3 class="cabecera" style="font-size: 0.8em; font-weight: 500; line-height: 1.4em; margin: 10px 0px;"&gt;&lt;strong&gt;Cuenta de Costo&lt;/strong&gt;&lt;/h3&gt;_x000D_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0px;"&gt;&lt;strong&gt;Monto presupuestado del mes&lt;/strong&gt;&lt;/h3&gt;_x000D_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0px;"&gt;&lt;strong&gt;Monto comprometido del mes&lt;/strong&gt;&lt;/h3&gt;_x000D_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0px;"&gt;&lt;strong&gt;Diferencia del mes&lt;/strong&gt;&lt;/h3&gt;_x000D_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0px;"&gt;&lt;strong&gt;Monto presupuestado acumulado&lt;/strong&gt;&lt;/h3&gt;_x000D_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0px;"&gt;&lt;strong&gt;Monto comprometido acumulado&lt;/strong&gt;&lt;/h3&gt;_x000D_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0px;"&gt;&lt;strong&gt;Diferencia acumulado&lt;/strong&gt;&lt;/h3&gt;_x000D_
&lt;/td&gt;_x000D_
&lt;/tr&gt;_x000D_
&lt;/thead&gt;_x000D_
&lt;tbody&gt;_x000D_
&lt;idTrCuentas&gt;_x000D_
&lt;/tbody&gt;_x000D_
&lt;/table&gt;_x000D_
&lt;/td&gt;_x000D_
&lt;/tr&gt;_x000D_
&lt;tr&gt;_x000D_
&lt;td height="10" style="font-size:10px; line-height:10px; background-color: #fff;"&gt;&amp;nbsp;&lt;/td&gt;_x000D_
&lt;/tr&gt;_x000D_
&lt;/table&gt;_x000D_
&lt;table width="840" cellpadding="0" cellspacing="0" border="0" class="wrapper" bgcolor="#FFFFFF"&gt;_x000D_
&lt;tr&gt;_x000D_
&lt;td height="10" style="font-size:10px; line-height:10px;"&gt;&amp;nbsp;&lt;/td&gt;_x000D_
&lt;/tr&gt;_x000D_
&lt;tr&gt;_x000D_
&lt;td align="center" valign="top" style="padding: 10px 0;"&gt;_x000D_
&lt;table width="800" cellpadding="0" cellspacing="0" border="0" class="container"&gt;_x000D_
&lt;tr&gt;_x000D_
&lt;td class="mobile" align="left" valign="top"&gt;_x000D_
&lt;p style=" font-size: 1.1em; line-height: 1.7em; text-align: justify; margin-bottom: 30px;"&gt;Consulta el detalle del Presupuesto en el reporte "Presupuesto / Presupuesto Anualizado / Bandeja de Presupuesto".&lt;/p&gt;_x000D_
&lt;/td&gt;_x000D_
&lt;/tr&gt;_x000D_
&lt;tr&gt;_x000D_
&lt;td class="mobile" align="center" valign="top"&gt;_x000D_
&lt;a href="https://www.agilice.com/" style="background:#00a7e1; color:#fff; padding:10px 20px; text-decoration: none; border-radius:2px; margin: 10px 0;display:inline-block;font-size: 1.1em;font-weight: 400;line-height: 23px;"&gt;Ir a agilice.com&lt;/a&gt;_x000D_
&lt;/td&gt;_x000D_
&lt;/tr&gt;_x000D_
&lt;tr&gt;_x000D_
&lt;td height="20" style="font-size:10px; line-height:10px;"&gt;&amp;nbsp;&lt;/td&gt;_x000D_
&lt;/tr&gt;_x000D_
&lt;/table&gt;_x000D_
&lt;/td&gt;_x000D_
&lt;/tr&gt;_x000D_
&lt;/table&gt;_x000D_
&lt;table width="840" cellpadding="0" cellspacing="0" border="0" class="wrapper" bgcolor="#F2F2F2"&gt;_x000D_
&lt;tr&gt;_x000D_
&lt;td class="mobile footer" align="center" valign="middle" style="padding:5px 10px;"&gt;_x000D_
&lt;div id="footer" style="width:300px"&gt;_x000D_
&lt;img src="https://www.agilice.com/hubfs/Logo%20Agilice.svg"&gt;_x000D_
&lt;/div&gt;_x000D_
&lt;/td&gt;_x000D_
&lt;/tr&gt;_x000D_
&lt;tr&gt;_x000D_
&lt;td align="center" valign="top"&gt;_x000D_
&lt;table width="100%" cellpadding="0" cellspacing="0" border="0" class="container"&gt;_x000D_
&lt;tr&gt;_x000D_
&lt;td class="mobile footer" align="center" valign="top"&gt;_x000D_
&lt;p style="line-height: 1.5em; font-size: 11px; text-align: center; color: #999999;"&gt;Correo enviado a trav&amp;eacute;s de agilice | Todos los Derechos Reservados&lt;br /&gt;&lt;/p&gt;_x000D_
&lt;/td&gt;_x000D_
&lt;/tr&gt;_x000D_
&lt;/table&gt;_x000D_
&lt;/td&gt;_x000D_
&lt;/tr&gt;_x000D_
&lt;/table&gt;  _x000D_
&lt;/td&gt;_x000D_
&lt;/tr&gt;_x000D_
&lt;/table&gt;_x000D_
&lt;/center&gt;_x000D_
&lt;/body&gt;_x000D_
&lt;/html&gt;_x000D_
		 </t>
  </si>
  <si>
    <t xml:space="preserve">_x000D_
&lt;!DOCTYPE html&gt;_x000D_
&lt;html lang="en"&gt;_x000D_
&lt;head&gt;_x000D_
&lt;meta http-equiv="Content-Type" content="text/html; charset=UTF-8"&gt;_x000D_
&lt;meta name="viewport" content="width=device-width, initial-scale=1"&gt;_x000D_
&lt;meta http-equiv="X-UA-Compatible" content="IE=edge"&gt;_x000D_
&lt;style type="text/css"&gt;_x000D_
body, table, td, a { -webkit-text-size-adjust: 100%; -ms-text-size-adjust: 100%; font-family: Helvetica, sans-serif; font-weight: 300; color: #333333; font-size: 14px;}_x000D_
&lt;/style&gt;_x000D_
&lt;/head&gt;_x000D_
&lt;body style="margin:0; padding:0; background-color:#fff;"&gt;_x000D_
&lt;span style="display: block; width: 640px !important; max-width: 640px; height: 1px" class="mobileOff"&gt;&lt;/span&gt;_x000D_
&lt;center&gt;_x000D_
&lt;table width="100%" border="0" cellpadding="0" cellspacing="0" bgcolor="#ffffff"&gt;_x000D_
&lt;tr&gt;_x000D_
&lt;td align="center" valign="top"&gt;_x000D_
&lt;table width="640" cellpadding="0" cellspacing="0" border="0" class="wrapper" bgcolor="#FFF"&gt;_x000D_
&lt;tr&gt;_x000D_
&lt;td align="center" valign="top"&gt;_x000D_
&lt;table width="100%" cellpadding="0" cellspacing="0" border="0" class="container"&gt;_x000D_
&lt;tr&gt;_x000D_
&lt;td height="20" style="font-size:10px; line-height:20px;"&gt;&amp;nbsp;&lt;/td&gt;_x000D_
&lt;/tr&gt;_x000D_
&lt;tr&gt;_x000D_
&lt;td class="mobile" align="center" valign="middle" style="padding:10px; text-align:center;"&gt;_x000D_
&lt;img class="logo" src="https://cl.iconstruye.com/images/FrameSuperior/logo_iConstruye.png"&gt;_x000D_
&lt;/td&gt;_x000D_
&lt;/tr&gt;_x000D_
&lt;/table&gt;_x000D_
&lt;/td&gt;_x000D_
&lt;/tr&gt;_x000D_
&lt;/table&gt;_x000D_
&lt;table width="640" cellpadding="0" cellspacing="0" border="0" class="wrapper" bgcolor="#FFFFFF"&gt;_x000D_
&lt;tr&gt;_x000D_
&lt;td align="center" valign="top" style="padding: 0;"&gt;_x000D_
&lt;table width="100%" cellpadding="0" cellspacing="0" border="0" class="container"&gt;_x000D_
&lt;tr&gt;_x000D_
&lt;td align="left" valign="middle" height="90"&gt;_x000D_
&lt;h3 style="font-size: 2em; font-weight: 300; color: #333333; -webkit-margin-before: 1em; -webkit-margin-after: 0.5em; text-align:center;"&gt;Documento pendiente de aprobación por Presupuesto Anualizado&lt;/h3&gt;_x000D_
&lt;/td&gt;_x000D_
&lt;/tr&gt;_x000D_
&lt;/table&gt;_x000D_
&lt;/td&gt;_x000D_
&lt;/tr&gt;_x000D_
&lt;/table&gt;_x000D_
&lt;table width="640" cellpadding="0" cellspacing="0" border="0" class="wrapper" bgcolor="#FFFFFF"&gt;_x000D_
&lt;tr&gt;_x000D_
&lt;td align="center" valign="top" style="padding: 0;"&gt;_x000D_
&lt;table width="100%" cellpadding="0" cellspacing="0" border="0" class="container"&gt;_x000D_
&lt;tr&gt;_x000D_
&lt;td class="mobile" align="left" valign="top"&gt;_x000D_
&lt;p style=" font-size: 1.1em; line-height: 1.7em; text-align: left;"&gt;&lt;strong&gt;&lt;NombreUsuarioAprobador&gt;&lt;/strong&gt;, te informamos que el documento N° &lt;strong&gt;&lt;NumeroDocumento&gt;&lt;/strong&gt; se encuentra creado con fecha &lt;strong&gt;&lt;FechaMovimiento&gt;&lt;/strong&gt; y está en espera de tu aprobación en el Centro de Gestión &lt;strong&gt;&lt;CentroGestion&gt;&lt;/strong&gt;.&lt;/p&gt;_x000D_
&lt;ul style="margin:0;padding:0;list-style-type:none;line-height:30px;" class="data-list"&gt;_x000D_
&lt;li style="border-bottom:1px solid #eee;"&gt;&lt;span style="width:30%;display:inline-block;"&gt;Tipo de Documento:&lt;/span&gt; &lt;strong&gt;&lt;TipoDocumento&gt;&lt;/strong&gt;&lt;/li&gt;_x000D_
&lt;li style="border-bottom:1px solid #eee;"&gt;&lt;span style="width:30%;display:inline-block;"&gt;Nombre de Documento:&lt;/span&gt; &lt;strong&gt;&lt;NombreDocumento&gt;&lt;/strong&gt;&lt;/li&gt;_x000D_
&lt;li style="border-bottom:1px solid #eee;"&gt;&lt;span style="width:30%;display:inline-block;"&gt;Solicitante:&lt;/span&gt; &lt;strong&gt;&lt;NombreUsuarioSolicitante&gt;&lt;/strong&gt;&lt;/li&gt;_x000D_
&lt;li style="border-bottom:1px solid #eee;"&gt;&lt;span style="width:30%;display:inline-block;"&gt;Monto:&lt;/span&gt; &lt;strong&gt;&lt;Monto&gt;&lt;/strong&gt;&lt;/li&gt;_x000D_
&lt;/ul&gt;_x000D_
&lt;/td&gt;_x000D_
&lt;/tr&gt;_x000D_
&lt;/table&gt;_x000D_
&lt;/td&gt;_x000D_
&lt;/tr&gt;_x000D_
&lt;/table&gt;_x000D_
&lt;table width="640" cellpadding="0" cellspacing="0" border="0" class="wrapper" bgcolor="#FFFFFF"&gt;_x000D_
&lt;tr&gt;_x000D_
&lt;td height="10" style="font-size:10px; line-height:10px;"&gt;&amp;nbsp;&lt;/td&gt;_x000D_
&lt;/tr&gt;_x000D_
&lt;tr&gt;_x000D_
&lt;td align="center" valign="top" style="padding: 10px 0;"&gt;_x000D_
&lt;table width="100%" cellpadding="0" cellspacing="0" border="0" class="container"&gt;_x000D_
&lt;tr&gt;_x000D_
&lt;td class="mobile" align="left" valign="top"&gt;_x000D_
&lt;p style=" font-size: 1.1em; line-height: 1.7em; text-align: left; margin-bottom: 30px;"&gt;Consulta el estado de todos tus documentos en la sección "Presupuesto / Presupuesto Anualizado / Aprobar Documentos".&lt;/p&gt;_x000D_
&lt;/td&gt;_x000D_
&lt;/tr&gt;_x000D_
&lt;tr&gt;_x000D_
&lt;td class="mobile" align="center" valign="top"&gt;_x000D_
&lt;a href="http://www.iconstruye.com" style="background:#5CB85C; color:#fff; padding:10px 20px; text-decoration: none; border-radius:2px; margin: 10px 0;display:inline-block;font-size: 1.1em;font-weight: 400;line-height: 23px;"&gt;Ir a iConstruye.com&lt;/a&gt;_x000D_
&lt;/td&gt;_x000D_
&lt;/tr&gt;_x000D_
&lt;tr&gt;_x000D_
&lt;td height="20" style="font-size:10px; line-height:10px;"&gt;&amp;nbsp;&lt;/td&gt;_x000D_
&lt;/tr&gt;_x000D_
&lt;/table&gt;_x000D_
&lt;/td&gt;_x000D_
&lt;/tr&gt;_x000D_
&lt;/table&gt;_x000D_
&lt;table width="640" cellpadding="0" cellspacing="0" border="0" class="wrapper" bgcolor="#F2F2F2"&gt;_x000D_
&lt;tr&gt;_x000D_
&lt;td class="mobile footer" align="center" valign="middle" style="padding:5px 10px;"&gt;_x000D_
&lt;img src="https://cl.iconstruye.com/images/FrameSuperior/logo_iConstruye.png"&gt;_x000D_
&lt;/td&gt;_x000D_
&lt;/tr&gt;_x000D_
&lt;tr&gt;_x000D_
&lt;td align="center" valign="top"&gt;_x000D_
&lt;table width="100%" cellpadding="0" cellspacing="0" border="0" class="container"&gt;_x000D_
&lt;tr&gt;_x000D_
&lt;td class="mobile footer" align="center" valign="top"&gt;_x000D_
&lt;p style="line-height: 1.5em; font-size: 11px; text-align: center; color: #999999;"&gt;Correo enviado a trav&amp;eacute;s de iConstruye | Todos los Derechos Reservados&lt;br /&gt;&lt;/p&gt;_x000D_
&lt;/td&gt;_x000D_
&lt;/tr&gt;_x000D_
&lt;/table&gt;_x000D_
&lt;/td&gt;_x000D_
&lt;/tr&gt;_x000D_
&lt;/table&gt;  _x000D_
&lt;/td&gt;_x000D_
&lt;/tr&gt;_x000D_
&lt;/table&gt;_x000D_
&lt;/center&gt;_x000D_
&lt;/body&gt;_x000D_
&lt;/html&gt;_x000D_
		 </t>
  </si>
  <si>
    <t>Ha sido configurado como suplente</t>
  </si>
  <si>
    <t>&lt;div&gt; &lt;div id="header"&gt; &lt;img align="center" alt="" src="http://diseno.iconstruye.cl/mailing//marketplace-proveedores/header-generico.png" width="600" style="max-width: 600px;padding-bottom: 0;display: inline !important;vertical-align: bottom;border: 0;height: auto;outline: none;text-decoration: none;-ms-interpolation-mode: bicubic;" class="mcnImage"&gt; &lt;/div&gt; &lt;div id="center" style="margin-top: 10px; padding-left:15px;"&gt; &lt;span style="font-family:open sans,helvetica neue,helvetica,arial,sans-serif; "&gt;&lt;span style="font-size:14px"&gt;Estimado &lt;strong&gt;&lt;NombreUsuario&gt;&lt;/strong&gt;,&lt;br&gt;&lt;br&gt; Ud ha sido configurado como suplente del &lt;NombreUsuarioSuplido&gt; entre &lt;FechaInicio&gt; y &lt;FechaTermino&gt;.&lt;/b&gt;&lt;/span&gt; &lt;/div&gt; &lt;div style="margin-bottom: 20px;"&gt; &lt;tablaDocumentosPendiente&gt; &lt;/div&gt; &lt;div style="padding: 15px;"&gt; Atte.&lt;br&gt; Equipo iconstruye &lt;/div&gt; &lt;/div&gt;</t>
  </si>
  <si>
    <t>Suplente configurado</t>
  </si>
  <si>
    <t>&lt;div&gt; &lt;div id="header"&gt; &lt;img align="center" alt="" src="https://www.agilice.com/hubfs/Logo%20Agilice.svg" width="300" style="max-width: 600px;padding-bottom: 0;display: inline !important;vertical-align: bottom;border: 0;height: auto;outline: none;text-decoration: none;-ms-interpolation-mode: bicubic;" class="mcnImage"&gt; &lt;/div&gt; &lt;div id="center" style="margin-top: 10px; padding-left:15px;"&gt; &lt;span style="font-family:open sans,helvetica neue,helvetica,arial,sans-serif; "&gt;&lt;span style="font-size:14px"&gt;Estimado &lt;strong&gt;&lt;NombreUsuario&gt;&lt;/strong&gt;,&lt;br&gt;&lt;br&gt; Estos son los documentos pendientes de aprobación del usuario &lt;NombreUsuarioSuplido&gt; a la fecha.&lt;/b&gt;&lt;/span&gt; &lt;/div&gt; &lt;div style="margin-bottom: 20px;"&gt; &lt;tablaDocumentosPendiente&gt; &lt;/div&gt; &lt;div style="padding: 15px;"&gt; Atte.&lt;br&gt; Equipo Agilice &lt;/div&gt; &lt;/div&gt;</t>
  </si>
  <si>
    <t xml:space="preserve">_x000D_
&lt;!DOCTYPE html&gt;_x000D_
&lt;html lang="en"&gt;_x000D_
&lt;head&gt;_x000D_
&lt;meta http-equiv="Content-Type" content="text/html; charset=UTF-8"&gt;_x000D_
&lt;meta name="viewport" content="width=device-width, initial-scale=1"&gt;_x000D_
&lt;meta http-equiv="X-UA-Compatible" content="IE=edge"&gt;_x000D_
&lt;style type="text/css"&gt;_x000D_
body, table, td, a { -webkit-text-size-adjust: 100%; -ms-text-size-adjust: 100%; font-family: Helvetica, sans-serif; font-weight: 300; color: #333333; font-size: 14px;}_x000D_
&lt;/style&gt;    _x000D_
&lt;/head&gt;_x000D_
&lt;body style="margin:0; padding:0; background-color:#fff;"&gt;_x000D_
&lt;span style="display: block; width: 840px !important; max-width: 840px; height: 1px" class="mobileOff"&gt;&lt;/span&gt;_x000D_
&lt;center&gt;_x000D_
&lt;table width="100%" border="0" cellpadding="0" cellspacing="0" bgcolor="#ffffff"&gt;_x000D_
&lt;tr&gt;_x000D_
&lt;td align="center" valign="top"&gt;_x000D_
&lt;table width="840" cellpadding="0" cellspacing="0" border="0" class="wrapper" bgcolor="#FFF"&gt;_x000D_
&lt;tr&gt;_x000D_
&lt;td align="center" valign="top"&gt;_x000D_
&lt;table width="800" cellpadding="0" cellspacing="0" border="0" class="container"&gt;_x000D_
&lt;tr&gt;_x000D_
&lt;td class="mobile" align="center" valign="middle" style="padding:10px; text-align:center;"&gt;_x000D_
&lt;img class="logo" src="https://cl.iconstruye.com/images/FrameSuperior/logo_iConstruye.png"&gt;_x000D_
&lt;/td&gt;_x000D_
&lt;/tr&gt;_x000D_
&lt;/table&gt;_x000D_
&lt;/td&gt;_x000D_
&lt;/tr&gt;_x000D_
&lt;/table&gt;_x000D_
&lt;table width="840" cellpadding="0" cellspacing="0" border="0" class="wrapper" bgcolor="#FFFFFF"&gt;_x000D_
&lt;tr&gt;_x000D_
&lt;td align="center" valign="top" style="padding: 0;"&gt;_x000D_
&lt;table width="800" cellpadding="0" cellspacing="0" border="0" class="container"&gt;_x000D_
&lt;tr&gt;_x000D_
&lt;td align="left" valign="middle" height="90"&gt;_x000D_
&lt;h3 style="font-size: 2em; font-weight: 300; color: #333333; -webkit-margin-before: 1em; -webkit-margin-after: 0.5em; text-align:center;"&gt;Cuenta de costo &lt;strong&gt;excedida en presupuesto&lt;/strong&gt;&lt;/h3&gt;_x000D_
&lt;/td&gt;_x000D_
&lt;/tr&gt;_x000D_
&lt;/table&gt;_x000D_
&lt;/td&gt;_x000D_
&lt;/tr&gt;_x000D_
&lt;/table&gt;_x000D_
&lt;table width="840" cellpadding="0" cellspacing="0" border="0" class="wrapper" bgcolor="#FFFFFF"&gt;_x000D_
&lt;tr&gt;_x000D_
&lt;td align="center" valign="top" style="padding: 0;"&gt;_x000D_
&lt;table width="800" cellpadding="0" cellspacing="0" border="0" class="container"&gt;_x000D_
&lt;tr&gt;_x000D_
&lt;td class="mobile" align="left" valign="top"&gt;_x000D_
&lt;p style=" font-size: 1.1em; line-height: 1.7em; text-align: justify;"&gt;Estimado(a) Usuario, te informamos que las siguientes Cuentas de Costos han excedido el monto presupuestado en el Centro de Gestión &lt;strong&gt;&lt;CentroGestion&gt;&lt;/strong&gt;:&lt;/p&gt;_x000D_
&lt;/td&gt;_x000D_
&lt;/tr&gt;_x000D_
&lt;/table&gt;_x000D_
&lt;/td&gt;_x000D_
&lt;/tr&gt;_x000D_
&lt;/table&gt;_x000D_
&lt;table width="800" cellpadding="0" cellspacing="0" border="0" class="wrapper" bgcolor="#fff" style="border-top: 1px solid #fff;"&gt;_x000D_
&lt;tr&gt;_x000D_
&lt;td height="10" style="font-size:10px; line-height:10px;"&gt;&amp;nbsp;&lt;/td&gt;_x000D_
&lt;/tr&gt;_x000D_
&lt;tr&gt;_x000D_
&lt;td align="center" valign="top" style="border-bottom: 1px solid #fff;"&gt;_x000D_
&lt;table width="100%" cellpadding="0" cellspacing="0" border="0" class="adaptative" bgcolor="#fff"&gt;_x000D_
&lt;thead&gt;_x000D_
&lt;tr bgcolor="#fff"&gt;_x000D_
&lt;td align="left" valign="top" style=" border-bottom:1px solid #eee; padding:0 10px; vertical-align: middle;" width="22%"&gt;_x000D_
&lt;h3 class="cabecera" style="font-size: 0.8em; font-weight: 500; line-height: 1.4em; margin: 10px 0px;"&gt;&lt;strong&gt;Cuenta de Costo&lt;/strong&gt;&lt;/h3&gt;_x000D_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0px;"&gt;&lt;strong&gt;Monto presupuestado del mes&lt;/strong&gt;&lt;/h3&gt;_x000D_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0px;"&gt;&lt;strong&gt;Monto comprometido del mes&lt;/strong&gt;&lt;/h3&gt;_x000D_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0px;"&gt;&lt;strong&gt;Diferencia del mes&lt;/strong&gt;&lt;/h3&gt;_x000D_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0px;"&gt;&lt;strong&gt;Monto presupuestado acumulado&lt;/strong&gt;&lt;/h3&gt;_x000D_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0px;"&gt;&lt;strong&gt;Monto comprometido acumulado&lt;/strong&gt;&lt;/h3&gt;_x000D_
&lt;/td&gt;_x000D_
&lt;td align="left" valign="top" style=" border-bottom:1px solid #eee; padding:0 10px;" width="13%"&gt;_x000D_
&lt;h3 class="cabecera" style="font-size: 0.8em; font-weight: 500; line-height: 1.4em; margin: 10px 0px;"&gt;&lt;strong&gt;Diferencia acumulado&lt;/strong&gt;&lt;/h3&gt;_x000D_
&lt;/td&gt;_x000D_
&lt;/tr&gt;_x000D_
&lt;/thead&gt;_x000D_
&lt;tbody&gt;_x000D_
&lt;idTrCuentas&gt;_x000D_
&lt;/tbody&gt;_x000D_
&lt;/table&gt;_x000D_
&lt;/td&gt;_x000D_
&lt;/tr&gt;_x000D_
&lt;tr&gt;_x000D_
&lt;td height="10" style="font-size:10px; line-height:10px; background-color: #fff;"&gt;&amp;nbsp;&lt;/td&gt;_x000D_
&lt;/tr&gt;_x000D_
&lt;/table&gt;_x000D_
&lt;table width="840" cellpadding="0" cellspacing="0" border="0" class="wrapper" bgcolor="#FFFFFF"&gt;_x000D_
&lt;tr&gt;_x000D_
&lt;td height="10" style="font-size:10px; line-height:10px;"&gt;&amp;nbsp;&lt;/td&gt;_x000D_
&lt;/tr&gt;_x000D_
&lt;tr&gt;_x000D_
&lt;td align="center" valign="top" style="padding: 10px 0;"&gt;_x000D_
&lt;table width="800" cellpadding="0" cellspacing="0" border="0" class="container"&gt;_x000D_
&lt;tr&gt;_x000D_
&lt;td class="mobile" align="left" valign="top"&gt;_x000D_
&lt;p style=" font-size: 1.1em; line-height: 1.7em; text-align: justify; margin-bottom: 30px;"&gt;Consulta el detalle del Presupuesto en el reporte "Presupuesto / Presupuesto Anualizado / Bandeja de Presupuesto".&lt;/p&gt;_x000D_
&lt;/td&gt;_x000D_
&lt;/tr&gt;_x000D_
&lt;tr&gt;_x000D_
&lt;td class="mobile" align="center" valign="top"&gt;_x000D_
&lt;a href="http://www.iconstruye.com" style="background:#5CB85C; color:#fff; padding:10px 20px; text-decoration: none; border-radius:2px; margin: 10px 0;display:inline-block;font-size: 1.1em;font-weight: 400;line-height: 23px;"&gt;Ir a iConstruye.com&lt;/a&gt;_x000D_
&lt;/td&gt;_x000D_
&lt;/tr&gt;_x000D_
&lt;tr&gt;_x000D_
&lt;td height="20" style="font-size:10px; line-height:10px;"&gt;&amp;nbsp;&lt;/td&gt;_x000D_
&lt;/tr&gt;_x000D_
&lt;/table&gt;_x000D_
&lt;/td&gt;_x000D_
&lt;/tr&gt;_x000D_
&lt;/table&gt;_x000D_
&lt;table width="840" cellpadding="0" cellspacing="0" border="0" class="wrapper" bgcolor="#F2F2F2"&gt;_x000D_
&lt;tr&gt;_x000D_
&lt;td class="mobile footer" align="center" valign="middle" style="padding:5px 10px;"&gt;_x000D_
&lt;img src="https://cl.iconstruye.com/images/FrameSuperior/logo_iConstruye.png"&gt;_x000D_
&lt;/td&gt;_x000D_
&lt;/tr&gt;_x000D_
&lt;tr&gt;_x000D_
&lt;td align="center" valign="top"&gt;_x000D_
&lt;table width="100%" cellpadding="0" cellspacing="0" border="0" class="container"&gt;_x000D_
&lt;tr&gt;_x000D_
&lt;td class="mobile footer" align="center" valign="top"&gt;_x000D_
&lt;p style="line-height: 1.5em; font-size: 11px; text-align: center; color: #999999;"&gt;Correo enviado a trav&amp;eacute;s de iConstruye | Todos los Derechos Reservados&lt;br /&gt;&lt;/p&gt;_x000D_
&lt;/td&gt;_x000D_
&lt;/tr&gt;_x000D_
&lt;/table&gt;_x000D_
&lt;/td&gt;_x000D_
&lt;/tr&gt;_x000D_
&lt;/table&gt;  _x000D_
&lt;/td&gt;_x000D_
&lt;/tr&gt;_x000D_
&lt;/table&gt;_x000D_
&lt;/center&gt;_x000D_
&lt;/body&gt;_x000D_
&lt;/html&gt;_x000D_
		 </t>
  </si>
  <si>
    <t>&lt;!DOCTYPE html&gt;_x000D_
&lt;html lang="es"&gt;_x000D_
&lt;head&gt;_x000D_
	&lt;meta charset="UTF-8"&gt;_x000D_
	&lt;style type="text/css"&gt;_x000D_
		body {_x000D_
			font-family: Arial, Helvetica, sans-serif;_x000D_
			font-size: small;_x000D_
			padding: 12px;_x000D_
		}_x000D_
_x000D_
		p {_x000D_
			text-align: justify;_x000D_
		}_x000D_
_x000D_
		p.parrafo {_x000D_
			text-indent: 24px;_x000D_
		}_x000D_
	&lt;/style&gt;_x000D_
&lt;/head&gt;_x000D_
&lt;body&gt;_x000D_
	&lt;p&gt;&lt;strong&gt;Estimado Señor {NombreDestinatario}&lt;/strong&gt;&lt;/p&gt;_x000D_
	&lt;br&gt;&lt;br&gt;_x000D_
	&lt;p class="parrafo"&gt;Por Encargo de &lt;strong&gt;{EmpresaCompradora}&lt;/strong&gt; le informamos que se ha(n) generado la(s) siguiente(s) Órden(es) de Compra:&lt;/p&gt;_x000D_
	&lt;br&gt;_x000D_
	&lt;p&gt;&lt;strong&gt;Órdenes de Compra:&lt;/strong&gt;&lt;/p&gt;_x000D_
	{ListaOC}_x000D_
	&lt;br&gt;&lt;br&gt;_x000D_
	&lt;p class="parrafo"&gt;Para Aceptar o Rechazar esta(s) Órden(es) de Compra, debe responder a este Correo, &lt;strong&gt;como Plazo Máximo dentro de 8 horas hábiles&lt;/strong&gt;, señalando claramente su desición. En caso de Rechazar la(s) OC debe explicar claramente las razones del rechazo.&lt;/p&gt;_x000D_
	&lt;p class="parrafo"&gt;&lt;strong&gt;Si usted no es el representante interno en su organización para gestionar esta Orden de Compra,responda este correo indicado el nombre y correo electrónico del contacto&lt;/strong&gt;.&lt;/p&gt;_x000D_
	&lt;p class="parrafo"&gt;&lt;a clicktracking=off  href="https://www.iconstruye.com/"&gt;Contáctenos&lt;/a&gt; para su incorporación como &lt;a clicktracking=off href="https://www.iconstruye.com/"&gt;Proveedor Integrado&lt;/a&gt;, a la Comunidad de Iconstruye y realizar enlínea la gestión completa de sus negocios con &lt;strong&gt;{EmpresaCompradora}&lt;/strong&gt; y con las otras 200 &lt;a clicktracking=off  href="https://cl.iconstruye.com/lista_clientes/pdf/constructoras-201806.pdf"&gt;Constructoras&lt;/a&gt; que gestionan su abastecimiento a través de &lt;a clicktracking=off href="https://www.iconstruye.com/"&gt;www.iconstruye.com&lt;/a&gt;&lt;/p&gt;_x000D_
	&lt;br&gt;&lt;br&gt;_x000D_
	&lt;p class="parrafo"&gt;&lt;strong&gt;NOTAS:&lt;/strong&gt; {Mensaje}&lt;/p&gt;_x000D_
	&lt;br&gt;&lt;br&gt;_x000D_
	&lt;p&gt;Atentamente,&lt;/p&gt;_x000D_
	&lt;p&gt;IConstruye S.A.&lt;/p&gt;_x000D_
	&lt;p&gt;Servicio de Activación de Órdenes de Compra.&lt;/p&gt;_x000D_
	&lt;img src="http://cl.iconstruye.com/images/logo.jpg" /&gt;_x000D_
&lt;/body&gt;_x000D_
&lt;/html&gt;</t>
  </si>
  <si>
    <t>Estimado Sr. &lt;nombreContralor&gt;:&lt;br&gt;&lt;br&gt;_x000D_
Junto con saludarle, informamos a usted que el &lt;fechEnvioDoc&gt;, se ha generado un documento &lt;tipoDoc&gt; N° &lt;numdoc&gt; el cual es una operación con parte relacionada._x000D_
 &lt;br&gt;&lt;br&gt;Tipo: &lt;rolParteRelacionada&gt; &lt;br&gt; RUT: &lt;rutParteRelacionada&gt; &lt;br&gt;&lt;br&gt;_x000D_
Puede revisar más detalles ingresando a “Consulta Operaciones” en el módulo de Contraloría._x000D_
&lt;br&gt;&lt;br&gt;&lt;br&gt;_x000D_
Atentamente,&lt;br&gt;&lt;br&gt;_x000D_
Equipo iConstruye&lt;br&gt;&lt;link&gt;&lt;br&gt;_x000D_
Mesa de Ayuda&lt;br&gt;_x000D_
2486 11 11&lt;br&gt;_x000D_
&lt;img src="http://cl.iconstruye.com/images/logo.jpg" /img&gt;</t>
  </si>
  <si>
    <t>Estimado Sr. &lt;nombreContralor&gt;:&lt;br&gt;&lt;br&gt;_x000D_
Junto con saludarle, informamos a usted que el &lt;fechEnvioDoc&gt;, se ha generado un documento &lt;tipoDoc&gt; N° &lt;numdoc&gt; el cual es una operación con parte relacionada y no fué justificada con adjunto DPR._x000D_
 &lt;br&gt;&lt;br&gt;Tipo: &lt;rolParteRelacionada&gt; &lt;br&gt; RUT: &lt;rutParteRelacionada&gt; &lt;br&gt;&lt;br&gt;_x000D_
Puede revisar más detalles ingresando a “Consulta Operaciones” en el módulo de Contraloría._x000D_
&lt;br&gt;&lt;br&gt;&lt;br&gt;_x000D_
Atentamente,&lt;br&gt;&lt;br&gt;_x000D_
Equipo iConstruye&lt;br&gt;&lt;link&gt;&lt;br&gt;_x000D_
Mesa de Ayuda&lt;br&gt;_x000D_
2486 11 11&lt;br&gt;_x000D_
&lt;img src="http://cl.iconstruye.com/images/logo.jpg" /img&gt;</t>
  </si>
  <si>
    <t>Estimados Sres. Empresa &lt;nombproveedor&gt;: &lt;br&gt;_x000D_
&lt;br&gt;_x000D_
Le informamos que su empresa ha sido ganadora del proceso de cotización de _x000D_
&lt;nombempresa&gt; con su oferta &lt;nomof&gt;.&lt;br&gt;_x000D_
&lt;br&gt;_x000D_
No. Cotización :  &lt;numcz&gt;&lt;br&gt;_x000D_
Nombre            : &lt;nomcz&gt; &lt;br&gt;_x000D_
&lt;br&gt;_x000D_
Felicitaciones,&lt;br&gt;_x000D_
&lt;br&gt;_x000D_
Iconstruye&lt;br&gt;_x000D_
Mi brazo derecho&lt;br&gt;_x000D_
&lt;link&gt;</t>
  </si>
  <si>
    <t>Estimados Sres. Empresa &lt;nombproveedor&gt;:&lt;br&gt;_x000D_
&lt;br&gt;_x000D_
Le informamos que &lt;nombempresa&gt; ha seleccionado otra alternativa de cotización .&lt;br&gt;_x000D_
 &lt;br&gt;_x000D_
Atentamente,&lt;br&gt;_x000D_
&lt;br&gt;_x000D_
Iconstruye&lt;br&gt;_x000D_
Mi brazo derecho&lt;br&gt;_x000D_
&lt;link&gt;</t>
  </si>
  <si>
    <t>Estimados Sres. Empresa &lt;nombproveedor&gt;:&lt;br&gt;_x000D_
&lt;br&gt;_x000D_
Le informamos que la empresa &lt;nombempresa&gt; ha declarado desierta la cotización de &lt;numcz&gt;/&lt;nomcz&gt;.&lt;br&gt;_x000D_
&lt;br&gt;_x000D_
Atentamente,&lt;br&gt;_x000D_
&lt;br&gt;_x000D_
Iconstruye&lt;br&gt;_x000D_
Mi brazo derecho&lt;br&gt;_x000D_
&lt;link&gt;</t>
  </si>
  <si>
    <t>Estimados Sres. Empresa &lt;nombproveedor&gt;:&lt;br&gt;_x000D_
&lt;br&gt;_x000D_
La empresa&lt;nombempresa&gt; adelantó la adjudicación de &lt;numcz&gt;/&lt;nomcz&gt; para el &lt;fehaadjudicacion&gt; y seleccionó otra alternativa de cotización.&lt;br&gt;_x000D_
&lt;br&gt;_x000D_
Atentamente,&lt;br&gt;_x000D_
&lt;br&gt;_x000D_
Iconstruye&lt;br&gt;_x000D_
Mi brazo derecho&lt;br&gt;_x000D_
&lt;link&gt;</t>
  </si>
  <si>
    <t>&lt;!DOCTYPE html PUBLIC "-//W3C//DTD XHTML 1.0 Transitional//EN" "http://www.w3.org/TR/xhtml1/DTD/xhtml1-transitional.dtd"&gt;_x000D_
&lt;html xmlns="http://www.w3.org/1999/xhtml"&gt;_x000D_
	_x000D_
  &lt;head&gt;_x000D_
    &lt;meta http-equiv="Content-Type" content="text/html; charset=UTF-8" /&gt;_x000D_
    &lt;title&gt;Confirmación de cambios en Configuración&lt;/title&gt;_x000D_
  &lt;/head&gt;_x000D_
_x000D_
  &lt;body style="margin:0; padding:0;background:#fff;" leftmargin="0" marginwidth="0" topmargin="0" marginheight="0" offset="0"&gt;_x000D_
    &lt;center&gt;_x000D_
      &lt;table align="center" border="0" cellpadding="0" cellspacing="0" height="100%" width="700px"&gt;_x000D_
        &lt;tr&gt;_x000D_
          &lt;td align="center" valign="top" style="height:100% !important; margin:0; width:100% !important; padding:20px 15px;"&gt;_x000D_
_x000D_
           _x000D_
            &lt;table border="0" cellpadding="0" cellspacing="0" style="width:100%; max-width: 780px; border-left:1px solid #e5e5e5; border-right:1px solid #e5e5e5; border-bottom:1px solid #e5e5e5;"&gt;_x000D_
              &lt;tr&gt;_x000D_
                &lt;td align="center" valign="top"&gt;_x000D_
                 _x000D_
                  &lt;table border="0" cellpadding="0" cellspacing="0" width="100%" style="background-color:#FFFFFF; border-top: 2px solid #E66819;border-bottom:1px solid #e5e5e5; padding: 10px 20px;"&gt;_x000D_
                    &lt;tr&gt;_x000D_
                      &lt;td valign="top"  style="padding:10px; background: rgb(255, 255, 255) none repeat scroll 0% 0%; "&gt;_x000D_
                        &lt;img src="http://200.27.7.254/img/logos/iconstruye.png" style="max-width:200px; "/&gt;_x000D_
                      &lt;/td&gt;_x000D_
                    &lt;/tr&gt;_x000D_
                  &lt;/table&gt;_x000D_
                &lt;/td&gt;_x000D_
              &lt;/tr&gt;_x000D_
              &lt;tr&gt;_x000D_
                &lt;td align="center" valign="top"&gt;_x000D_
                  &lt;table border="0" cellpadding="0" cellspacing="0" width="100%" style="background-color:#FFFFFF; border-top:1px solid #FFFFFF;"&gt;_x000D_
                    &lt;tr&gt;_x000D_
                      &lt;td valign="top" style="color:#555; font-family:Helvetica; font-size:14px; line-height: 1.4em; padding:20px 40px 30px 40px; overflow:hidden; letter-spacing:normal;"&gt;_x000D_
_x000D_
                        &lt;h3 style="margin:0 0 10px 0;"&gt;Estimado &lt;usuario&gt;:&lt;/h3&gt;_x000D_
_x000D_
                      	&lt;p style="margin:0 0 10px 0;"&gt;&lt;accion&gt;:&lt;/p&gt;_x000D_
                     _x000D_
                      &lt;/td&gt;_x000D_
                    &lt;/tr&gt;_x000D_
_x000D_
               _x000D_
  &lt;tr valign="top" style="color:#808080;line-height:40px; font-family:Helvetica; font-size:13px; line-height:150%; padding-top:20px; padding-right:20px; padding-bottom:20px; padding-left:20px; width:50%; text-align:center;"&gt;&lt;td&gt;El detalle del proceso de configuración lo puedes consultar en el modulo configuraciones sección Informacion General/Historial Configuración&lt;/td&gt;&lt;/tr&gt;_x000D_
                       _x000D_
_x000D_
                      _x000D_
_x000D_
                    &lt;tr&gt;_x000D_
                      &lt;td valign="top" style="color:#808080; font-family:Helvetica; font-size:12px; line-height:150%; padding-top:20px; padding-right:20px; padding-bottom:20px; padding-left:20px; width:50%; text-align:center;"&gt;_x000D_
                              _x000D_
                              Si necesita comunicarse con nosotros escríbanos a &lt;a href="mailto:contactenos@iconstruye.com" style="color:#E66819; font-weight:normal; text-decoration:none;"&gt;contactenos@iconstruye.com&lt;/a&gt; o llámenos al 2 4861192&lt;br&gt;_x000D_
                              Al operar en la Plataforma iConstruye, los usuarios y la empresa a la que pertenecen aceptan cumplir con los &lt;a href="#" style="color:#E66819; font-weight:normal; text-decoration:none;"&gt;Términos y Condiciones&lt;/a&gt; de uso._x000D_
                                                        &lt;/td&gt;_x000D_
                    &lt;/tr&gt;_x000D_
                  &lt;/tr&gt;_x000D_
_x000D_
                  &lt;tr&gt;_x000D_
                    &lt;td style="border-top:1px solid #ddd; font-size:9px; padding:20px; font-family:Helvetica; color:#666;"&gt;_x000D_
                    	© iConstruye · Todos los Derechos Reservados. _x000D_
                    &lt;/td&gt;_x000D_
                  &lt;tr&gt;_x000D_
                  &lt;/table&gt;_x000D_
                &lt;/td&gt;_x000D_
              &lt;/tr&gt;_x000D_
            &lt;/table&gt;_x000D_
          &lt;/td&gt;_x000D_
        &lt;/tr&gt;_x000D_
      &lt;/table&gt;_x000D_
    &lt;/center&gt;_x000D_
  &lt;/body&gt;_x000D_
&lt;/html&gt;</t>
  </si>
  <si>
    <t>&lt;!DOCTYPE html&gt;_x000D_
&lt;html lang="es"&gt;_x000D_
&lt;head&gt;_x000D_
	&lt;meta charset="UTF-8"&gt;_x000D_
	&lt;style type="text/css"&gt;_x000D_
		body {_x000D_
			font-family: Arial, Helvetica, sans-serif;_x000D_
			font-size: small;_x000D_
			padding: 12px;_x000D_
		}_x000D_
_x000D_
		p {_x000D_
			text-align: justify;_x000D_
		}_x000D_
		_x000D_
	&lt;/style&gt;_x000D_
&lt;/head&gt;_x000D_
&lt;body&gt;_x000D_
	&lt;p&gt;Estimado Proveedor_x000D_
	&lt;p&gt;La empresa &lt;strong&gt;{EmpresaCompradora}&lt;/strong&gt;, le ha generado una Órden de Compra N°_x000D_
	{NumeroOC} a través de &lt;a clicktracking=off href="http://www.iconstruye.com"&gt;www.iconstruye.com&lt;/a&gt;&lt;/p&gt;_x000D_
	&lt;p&gt;Para descargar el PDF debe hacer clic en el Número del documento en el siguiente enlace {Link}.&lt;/p&gt;_x000D_
	&lt;p&gt;Para Aceptar o Rechazar esta orden de compra, debe &lt;strong&gt;responder a este correo con copia a todos los contactos&lt;/strong&gt;, señalando claramente su decisión._x000D_
	&lt;br&gt;_x000D_
	&lt;p&gt;Si deseas mayor información puedes contactarnos en el siguiente link &lt;a clicktracking=off href="https://www.iconstruye.com/"&gt;Contáctenos&lt;/a&gt; &lt;/p&gt;_x000D_
	&lt;br&gt;_x000D_
	&lt;p&gt;Atentamente,&lt;/p&gt;_x000D_
	&lt;img src="http://cl.iconstruye.com/images/logo.jpg" /&gt;_x000D_
&lt;/body&gt;_x000D_
&lt;/html&gt;</t>
  </si>
  <si>
    <t>&lt;!DOCTYPE html&gt;_x000D_
&lt;html lang="es"&gt;_x000D_
&lt;head&gt;_x000D_
	&lt;meta charset="UTF-8"&gt;_x000D_
	&lt;style type="text/css"&gt;_x000D_
		body {_x000D_
			font-family: Arial, Helvetica, sans-serif;_x000D_
			font-size: small;_x000D_
			padding: 12px;_x000D_
		}_x000D_
_x000D_
		p {_x000D_
			text-align: justify;_x000D_
		}_x000D_
		_x000D_
	&lt;/style&gt;_x000D_
&lt;/head&gt;_x000D_
&lt;body&gt;_x000D_
	&lt;h3&gt;Estimado &lt;strong&gt;&lt;NombreUsuario&gt;&lt;/strong&gt;&lt;/h3&gt;_x000D_
        &lt;br&gt;_x000D_
        &lt;p&gt;El archivo de pago &lt;strong&gt;&lt;NombreArchivo&gt;&lt;/strong&gt; se encuentra &lt;strong&gt;&lt;Estado&gt;&lt;/strong&gt;.&lt;/p&gt;_x000D_
        &lt;p&gt;Consulta el estado de todas sus Solicitudes en la sección "&lt;strong&gt;Consulta Archivos de Pago&lt;/strong&gt;".&lt;/p&gt;_x000D_
        &lt;br&gt;_x000D_
        &lt;p&gt;Ingrese al portal proveedores de &lt;strong&gt;iConstruye.com&lt;strong&gt;&lt;/p&gt;_x000D_
	&lt;br&gt;_x000D_
	&lt;p&gt;Atentamente,&lt;/p&gt;_x000D_
	&lt;img src="http://cl.iconstruye.com/images/logo.jpg" /&gt;_x000D_
&lt;/body&gt;_x000D_
&lt;/html&gt;</t>
  </si>
  <si>
    <t>MarketPlace</t>
  </si>
  <si>
    <t>marketplace@iconstruye.com</t>
  </si>
  <si>
    <t>@@EmpresaCompradora te ha emitido una Orden de compra</t>
  </si>
  <si>
    <t/>
  </si>
  <si>
    <t>Aviso de nueva orden de compra a proveedor no integrado(PNI), con invitacion a unirse al marketplace</t>
  </si>
  <si>
    <t>&lt;div&gt; &lt;div id="header"&gt; &lt;img align="center" alt="" src="https://www.agilice.com/hubfs/Logo%20Agilice.svg" width="600" style="max-width: 300px;padding-bottom: 0;display: inline !important;vertical-align: bottom;border: 0;height: auto;outline: none;text-decoration: none;-ms-interpolation-mode: bicubic;" class="mcnImage"&gt; &lt;/div&gt; &lt;div id="center" style="margin-top: 10px; padding-left:15px;"&gt; &lt;span style="font-family:open sans,helvetica neue,helvetica,arial,sans-serif; "&gt;&lt;span style="font-size:14px"&gt;Estimado &lt;strong&gt;&lt;NombreUsuario&gt;&lt;/strong&gt;,&lt;br&gt;&lt;br&gt; Ud ha sido configurado como suplente del &lt;NombreUsuarioSuplido&gt; entre &lt;FechaInicio&gt; y &lt;FechaTermino&gt;.&lt;/b&gt;&lt;/span&gt; &lt;/div&gt; &lt;div style="margin-bottom: 20px;"&gt; &lt;tablaDocumentosPendiente&gt; &lt;/div&gt; &lt;div style="padding: 15px;"&gt; Atte.&lt;br&gt; Equipo agilice &lt;/div&gt; &lt;/div&gt;</t>
  </si>
  <si>
    <t>&lt;!DOCTYPE html&gt;_x000D_
&lt;html lang="en"&gt;_x000D_
&lt;head&gt;_x000D_
&lt;meta http-equiv="Content-Type" content="text/html; charset=UTF-8"&gt;_x000D_
&lt;meta name="viewport" content="width=device-width, initial-scale=1"&gt;_x000D_
&lt;meta http-equiv="X-UA-Compatible" content="IE=edge"&gt;_x000D_
&lt;div id="header"&gt;_x000D_
&lt;/div&gt;_x000D_
&lt;div id="body"&gt;_x000D_
Estimado(a) Sr(a). &lt;nombusuario&gt;:&lt;br&gt;&lt;br&gt;Junto con saludarle, informamos a usted que el siguiente Traspaso ha sido Rechazado.&lt;br&gt;&lt;br&gt;Solicitante:     &lt;nombre de quien hace el traspaso&gt;&lt;br&gt;N° del Traspaso:    &lt;numtraspaso&gt;&lt;br&gt;N° del Documento:    &lt;numrespaldo&gt;&lt;br&gt;Centro de Gestión de origen:   &lt;nomorgc&gt;&lt;br&gt;Fecha del Traspaso:   &lt;fechaenvio&gt;&lt;br&gt;Centro de Gestión de destino:   &lt;nomorgcdestino&gt;&lt;br&gt;&lt;br&gt;&lt;br&gt;Fecha Rechazo:   &lt;fechaaprobacion&gt;&lt;br&gt;Rechazado por:  &lt;nombaprobador&gt;&lt;br&gt;Comentario:   &lt;Rechazo&gt;&lt;br&gt;&lt;br&gt;Para mayores antecedentes, ingrese al módulo Bodega, opción Salida, Consultar Traspasos, para ver el motivo del rechazo. En caso de requerir información adicional, comuníquese con nosotros al 486 11 11&lt;br&gt;&lt;br&gt;&lt;br&gt;Atentamente,&lt;br&gt;&lt;br&gt;Equipo agilice&lt;br&gt;&lt;link&gt;&lt;br&gt;Mesa de Ayuda&lt;br&gt;486 11 11&lt;br&gt;_x000D_
&lt;div id="footer" style="width:300px"&gt;_x000D_
&lt;img src="https://www.agilice.com/hubfs/Logo%20Agilice.svg" /img&gt;_x000D_
&lt;/div&gt;_x000D_
&lt;/html&gt;</t>
  </si>
  <si>
    <t>&lt;!DOCTYPE html&gt;_x000D_
&lt;html lang="en"&gt;_x000D_
&lt;head&gt;_x000D_
&lt;meta http-equiv="Content-Type" content="text/html; charset=UTF-8"&gt;_x000D_
&lt;meta name="viewport" content="width=device-width, initial-scale=1"&gt;_x000D_
&lt;meta http-equiv="X-UA-Compatible" content="IE=edge"&gt;_x000D_
&lt;div id="header"&gt;_x000D_
&lt;/div&gt;_x000D_
&lt;div id="body"&gt;_x000D_
Estimado Sr(a). &lt;nombusuario&gt;: &lt;br&gt;&lt;br&gt;Junto con saludarle, le informamos que la siguiente Orden de Compra generada por usted ha sido Rechazada su Adjudicación. &lt;br&gt;&lt;br&gt;Nº de OC:   &lt;numoc&gt; &lt;br&gt;Nombre OC:  &lt;nomoc&gt;&lt;br&gt;Centro de Gestión:  &lt;nomborgc&gt; &lt;br&gt;Fecha envío OC:  &lt;fechaenvio&gt; &lt;br&gt;Rechazado por: &lt;nombaprobador&gt; &lt;br&gt;Comentario:  Rechazo en proceso de Adjudicación &lt;br&gt;&lt;br&gt;Para revisar mayores antecedentes, ingrese al módulo Compras de nuestro sistema&lt;br&gt;&lt;br&gt;&lt;br&gt;Atentamente,&lt;br&gt;&lt;br&gt;Equipo agilice&lt;br&gt;&lt;link&gt;&lt;br&gt;Mesa de Ayuda&lt;br&gt;486 11 11&lt;br&gt;_x000D_
&lt;div id="footer" style="width:300px"&gt;_x000D_
&lt;img src="https://www.agilice.com/hubfs/Logo%20Agilice.svg" /img&gt;_x000D_
&lt;/div&gt;_x000D_
&lt;/html&gt;</t>
  </si>
  <si>
    <t>&lt;!DOCTYPE html&gt;_x000D_
&lt;html xmlns="http://www.w3.org/1999/xhtml"&gt;_x000D_
&lt;head&gt;_x000D_
_x000D_
&lt;meta http-equiv="Content-Type" content="text/html; charset=UTF-8"&gt;_x000D_
_x000D_
&lt;title&gt;INVITACIÓN A COTIZAR EN ICONSTRUYE&lt;/title&gt;_x000D_
&lt;meta name="viewport" content="width=device-width, initial-scale=1.0"&gt;_x000D_
&lt;/head&gt;_x000D_
_x000D_
&lt;body leftmargin="0" topmargin="0" marginwidth="0" marginheight="0" yahoo="fix" style="font-family: Helvetica, sans-serif; color: #666666; width: 100%; -webkit-font-smoothing: antialiased; background-color: #f2f5f9; margin: 0; padding: 0;" bgcolor="#f2f5f9"&gt;_x000D_
_x000D_
_x000D_
&lt;table width="720" border="0" cellpadding="0" cellspacing="0" align="center" style="border-collapse: collapse;"&gt;_x000D_
	&lt;tr&gt;_x000D_
		&lt;td width="100%" valign="top" bgcolor="#f2f5f9" style="padding: 20px 0;"&gt;_x000D_
_x000D_
			_x000D_
			&lt;table width="720" border="0" cellpadding="0" cellspacing="0" align="center" style="border-bottom-style: solid; border-bottom-color: #dcdfe3; border-bottom-width: 1px; border-left-width: 1px; border-left-color: #dcdfe3; border-left-style: solid; border-right-width: 1px; border-right-color: #dcdfe3; border-right-style: solid; border-collapse: collapse; width: 780px !important; margin: 0 auto; padding: 0;"&gt;_x000D_
				&lt;tr&gt;_x000D_
					&lt;td width="100%" bgcolor="#ffffff" style="border-top-width: 2px; border-top-color: #E66819; border-top-style: solid; padding: 10px 0;"&gt;_x000D_
            &lt;img src="http://diseno.iconstruye.cl/mailing/newsletter/images/201606/201606-logo-iconstruye.jpg" style="width: 100%;"&gt;_x000D_
					&lt;/td&gt;_x000D_
				&lt;/tr&gt;_x000D_
			&lt;/table&gt;_x000D_
_x000D_
			_x000D_
			&lt;table width="720" border="0" cellpadding="0" cellspacing="0" align="center" bgcolor="#FFF" style="border-left-style: solid; border-left-color: #dcdfe3; border-left-width: 1px; border-right-color: #dcdfe3; border-right-width: 1px; border-right-style: solid; border-collapse: collapse; width: 780px !important; margin: 0 auto; padding: 0;"&gt;_x000D_
        &lt;tr&gt;_x000D_
          &lt;td style="color: #666; font-weight: normal; text-align: left; font-family: Helvetica, sans-serif; line-height: 24px; vertical-align: top; padding: 10px 20px 5px;" bgcolor="#FFF" align="left" valign="top"&gt;_x000D_
_x000D_
            &lt;p style="font-weight: 200; font-size: 14px; line-height: 1.7em; margin: 0 0 15px;"&gt;Estimado (a): {NombreProveedor}&lt;/p&gt;_x000D_
_x000D_
            &lt;p style="font-weight: 200; font-size: 14px; line-height: 1.7em; margin: 0 0 15px;"&gt;La empresa &lt;strong&gt;{EmpresaCompradora}&lt;/strong&gt; lo ha invitado a participar de la siguiente cotización:&lt;/p&gt;_x000D_
_x000D_
            &lt;ul&gt;_x000D_
              &lt;li style="font-size: 0.9em; font-weight: 400; color: #3A5F84;"&gt;_x000D_
&lt;strong&gt;N° de Cotización:&lt;/strong&gt; {NumeroCotizacion}&lt;/li&gt;_x000D_
              &lt;li style="font-size: 0.9em; font-weight: 400; color: #3A5F84;"&gt;_x000D_
&lt;strong&gt;Nombre de la cotización:&lt;/strong&gt; {NombreCotizacion}&lt;/li&gt;_x000D_
              &lt;li style="font-size: 1em; font-weight: 600; color: #3A5F84;"&gt;_x000D_
&lt;strong&gt;Fecha de Cierre:&lt;/strong&gt; {FechaDeCierre}&lt;/li&gt;_x000D_
            &lt;/ul&gt;_x000D_
          &lt;/td&gt;_x000D_
        &lt;/tr&gt;_x000D_
        &lt;tr&gt;_x000D_
          &lt;td style="color: #666; font-weight: normal; text-align: left; font-family: Helvetica, sans-serif; line-height: 24px; vertical-align: top; padding: 10px 20px 5px;" bgcolor="#FFF" align="left" valign="top"&gt;_x000D_
            &lt;p style="font-weight: 200; font-size: 14px; line-height: 1.7em; margin: 0 0 15px;"&gt;El detalle de los materiales a cotizar se encuentra en la siguiente tabla:&lt;/p&gt;_x000D_
          &lt;/td&gt;_x000D_
        &lt;/tr&gt;_x000D_
        _x000D_
        _x000D_
        &lt;tr&gt;_x000D_
          _x000D_
          &lt;td style="text-align: center; color: #0d5369; font-family: Helvetica; font-size: 14px; line-height: 1.4em; overflow: hidden; letter-spacing: normal; padding-top: 0;" align="center"&gt;_x000D_
              &lt;table width="96%" style="border-spacing: 0; border-collapse: collapse; margin: 0 auto;"&gt;_x000D_
                &lt;tr&gt;_x000D_
                  &lt;td style="padding: 0;"&gt;_x000D_
                    {TablaMateriales}_x000D_
                  &lt;/td&gt;_x000D_
                &lt;/tr&gt;_x000D_
              &lt;/table&gt;_x000D_
          &lt;/td&gt;_x000D_
        &lt;/tr&gt;_x000D_
        &lt;tr&gt;_x000D_
          &lt;td valign="top" style="color: #555; font-family: Helvetica; font-size: 14px; text-align: center; padding-top: 30px; overflow: hidden; letter-spacing: normal;" align="center"&gt;_x000D_
            &lt;a clicktracking="off" href="http://www.iconstruye.com/" style="background-color: #5CB85C; color: #fff; text-decoration: none; border-radius: 4px; font-size: 17px; font-weight: 400; line-height: 26px; display: inline-block; margin: 0 0 20px; padding: 16px 25px 15px;"&gt;Ingresa a ofertar&lt;/a&gt;_x000D_
&lt;/td&gt;_x000D_
        &lt;/tr&gt;_x000D_
        &lt;tr&gt;_x000D_
          &lt;td style="color: #666; font-weight: normal; text-align: left; font-family: Helvetica, sans-serif; line-height: 24px; vertical-align: top; padding: 20px 20px 5px;" bgcolor="#FFF" align="left" valign="top"&gt;_x000D_
            &lt;p style="font-weight: 200; font-size: 14px; line-height: 1.7em; margin: 0 0 15px;"&gt;No deje pasar esta Oportunidad de hacer Negocios. Para mayor información, ingrese al módulo de Cotizaciones de nuestro sistema.&lt;/p&gt;_x000D_
            &lt;p style="font-weight: 200; font-size: 14px; line-height: 1.7em; margin: 0 0 15px;"&gt;Atentamente&lt;br&gt;_x000D_
              &lt;strong&gt;Equipo iConstruye&lt;/strong&gt;&lt;br&gt;_x000D_
              &lt;a clicktracking="off" href="http://www.iconstruye.com"&gt;www.iconstruye.com&lt;/a&gt; &lt;br&gt;_x000D_
              Mesa de Ayuda: +56 2 24861111&lt;/p&gt;_x000D_
          &lt;/td&gt;_x000D_
        &lt;/tr&gt;    _x000D_
			&lt;/table&gt;_x000D_
_x000D_
      _x000D_
      &lt;table width="720" border="0" cellpadding="0" cellspacing="0" align="center" bgcolor="#fff" style="border-left-style: solid; border-left-color: #dcdfe3; border-left-width: 1px; border-right-color: #dcdfe3; border-right-width: 1px; border-right-style: solid; border-collapse: collapse; width: 780px !important; margin: 0 auto; padding: 0;"&gt;_x000D_
        &lt;tr&gt;_x000D_
          &lt;td style="padding: 20px; border-top-width: 1px; border-top-color: #dcdfe3; border-top-style: solid; font-size: 11px; font-family: Helvetica; color: #666; background-color: #e9ecf0; border-bottom-width: 1px; border-bottom-style: solid; border-bottom-color: #dcdfe3;" bgcolor="#e9ecf0"&gt;_x000D_
            &lt;p&gt;Correo enviado a través de iConstruye · Todos los Derechos Reservados&lt;/p&gt; _x000D_
          &lt;/td&gt;_x000D_
        &lt;/tr&gt;_x000D_
&lt;tr&gt;_x000D_
      &lt;/tr&gt;_x000D_
&lt;/table&gt;  _x000D_
		&lt;/td&gt;_x000D_
	&lt;/tr&gt;_x000D_
&lt;/table&gt; _x000D_
&lt;/body&gt;_x000D_
&lt;/html&gt;</t>
  </si>
  <si>
    <t>&lt;!DOCTYPE html PUBLIC "-//W3C//DTD XHTML 1.0 Transitional//EN" "http://www.w3.org/TR/xhtml1/DTD/xhtml1-transitional.dtd"&gt;&lt;html xmlns="http://www.w3.org/1999/xhtml"&gt;&lt;head&gt;&lt;meta name="viewport" content="width=device-width" /&gt;&lt;meta http-equiv="Content-Type" content="text/html; charset=UTF-8" /&gt;_x000D_
	&lt;title&gt;ICONSTRUYE&lt;/title&gt;_x000D_
	&lt;style type="text/css"&gt;* {margin: 0;font-family: "Helvetica Neue", Helvetica, Arial, sans-serif;box-sizing: border-box;font-size: 14px;}img {max-width: 100%;}body {-webkit-font-smoothing: antialiased;-webkit-text-size-adjust: none;width: 100% !important;height: 100%;line-height: 1.6em;}table td {vertical-align: top;}body {background-color: #f6f6f6;}.body-wrap {background-color: #f6f6f6;width: 100%;}.container {display: block !important;max-width: 600px !important;margin: 0 auto !important;clear: both !important;}.content {max-width: 600px;margin: 0 auto;display: block;padding: 20px;}.main {background-color: #fff;border-bottom: 2px solid #EAEAEA;border-radius: 3px;}.content-wrap {padding: 15px 20px;}.content-block {padding: 0 0 20px;}.header {width: 100%;margin-bottom: 20px;}.pre-footer {width: 100%;clear: both;color: #333;padding: 20px 0px;}.footer {width: 100%;clear: both;color: #999;padding: 15px;}.footer p, .footer a, .footer td {color: #999;font-size: 11px;}.resume-box {background: #FFF0E5;}h1, h2, h3 {color: #000;margin: 20px 0 0;line-height: 1.2em;font-weight: 400;}h1 {font-size: 20px;font-weight: 500;}h2 {font-size: 24px;}h3 {font-size: 18px;}h4 {font-size: 14px;font-weight: 600;}p, ul, ol {margin-bottom: 10px;font-weight: normal;}p li, ul li, ol li {margin-left: 5px;list-style-position: inside;line-height: 1.3em;}a {color: #348eda;text-decoration: underline;}.btn-primary {background:#0994FF; color:#fff !important; padding:10px 20px; text-decoration: none; border-radius:8px; margin: 10px 0;display:inline-block;font-size: 1.1em;font-weight:bold;line-height: 23px;}.aligncenter {text-align: center;}.alignright {text-align: right;}.alignleft {text-align: left;}.clear {clear: both;}@media only screen and (max-width: 480px) {body {  padding: 0 !important;}h1, h2, h3, h4 { margin: 20px 0 5px !important;}h1 {  font-size: 22px !important;}h2 {  font-size: 18px !important;}h3 {  font-size: 16px !important;}.container {  padding: 0 !important;  width: 100% !important;}.content {  padding: 0 !important;}.content-wrap {  padding: 15px !important;}.mcnImage {max-width:100% !important;width:100% !important;} .img-app{margin-bottom: 10px;} table#banner td.w50{width: 50%;}a.button{width: 70px; margin-bottom: 10px;}span.sub-text{font-size: 16px;}}.sub-text{font-size: 18px;}a.button {_x000D_
    text-decoration: none;_x000D_
}.img-app{border: 1px solid #ff6b00;_x000D_
    border-radius:8px;_x000D_
    padding:5px 20px;_x000D_
  	width:140px;_x000D_
  	height: auto;_x000D_
  	margin-right: 10px;_x000D_
  	cursor: pointer;}&lt;/style&gt;_x000D_
&lt;/head&gt;_x000D_
&lt;body itemscope itemtype="http://schema.org/EmailMessage"&gt;_x000D_
	&lt;table class="body-wrap"&gt;_x000D_
		&lt;tr&gt;_x000D_
			&lt;td&gt;&lt;/td&gt;_x000D_
			&lt;td class="container" width="600"&gt;_x000D_
				&lt;table class="main" width="100%" cellpadding="0" cellspacing="0"&gt;_x000D_
					&lt;tr&gt;_x000D_
						&lt;td&gt;_x000D_
							&lt;table class="main" width="100%" cellpadding="0" cellspacing="0"&gt;_x000D_
								&lt;tr&gt;_x000D_
									&lt;td valign="top"&gt;_x000D_
										&lt;img align="center" alt="" src="http://diseno.iconstruye.cl/ic/desarrollando/configuracion-celula/mailing/img/header-generico.png" width="600" style="max-width: 600px;padding-bottom: 0;display: inline !important;vertical-align: bottom;border: 0;height: auto;outline: none;text-decoration: none;-ms-interpolation-mode: bicubic;" class="mcnImage"&gt;_x000D_
									&lt;/td&gt;_x000D_
								&lt;/tr&gt;_x000D_
							&lt;/table&gt;_x000D_
							&lt;div class="content-wrap"&gt;_x000D_
								&lt;table width="100%" cellpadding="0" cellspacing="0"&gt;_x000D_
									&lt;tr&gt;_x000D_
										&lt;td class="content-block" colspan="2"&gt;_x000D_
											&lt;h3&gt;¡Te damos la &lt;b style="font-size: 16px;"&gt;bienvenida a ICONSTRUYE!&lt;/b&gt;&lt;/h3&gt;_x000D_
										&lt;/td&gt;_x000D_
									&lt;/tr&gt;_x000D_
									&lt;tr&gt;_x000D_
										&lt;td class="content-block"&gt;_x000D_
											&lt;hr style="border-top: 1px solid #FF3C00;border-bottom: none;"&gt;_x000D_
										&lt;/td&gt;_x000D_
									&lt;/tr&gt;_x000D_
									&lt;tr&gt;_x000D_
										&lt;td colspan="2"&gt; _x000D_
											&lt;p style="color:#000"&gt;Hola &lt;b&gt;&lt;nombusuario&gt;&lt;/b&gt;,&lt;br&gt;tu cuenta de usuario para comenzar a operar en ICONSTRUYE ha sido creada con éxito. Estos son tus datos de registro:&lt;/p&gt;_x000D_
										&lt;/td&gt;_x000D_
									&lt;/tr&gt;_x000D_
								&lt;/table&gt;_x000D_
							&lt;/div&gt;_x000D_
_x000D_
							&lt;div class="content-wrap resume-box"&gt;_x000D_
								&lt;table width="100%" cellpadding="0" cellspacing="0"&gt;_x000D_
									&lt;tr&gt;_x000D_
									  &lt;td colspan="alignleft" style="font-size: 16px;"&gt;_x000D_
									    &lt;span class="sub-text" style="color: #ff6b00; font-weight: 700"&gt;Información de acceso&lt;/span&gt; &lt;br&gt;&lt;br&gt;_x000D_
									    &lt;span class="text-notorious" style="color:#000"&gt;&lt;b&gt;Usuario:&lt;/b&gt; &lt;idusuario&gt;&lt;br&gt;&lt;/span&gt;_x000D_
									    &lt;span class="text-notorious" style="color:#000"&gt;&lt;b&gt;Organización:&lt;/b&gt; &lt;nombempresa&gt;&lt;br&gt;&lt;/span&gt;_x000D_
									    &lt;span class="text-notorious" style="color:#000"&gt;&lt;b&gt;Contraseña temporal:&lt;/b&gt; &lt;clave&gt;&lt;/span&gt;&lt;br&gt;&lt;br&gt;_x000D_
									    &lt;span style="font-size: 13px; color: #ff6b00;"&gt;Te recomendamos que al ingresar cambies tu contraseña&lt;/span&gt;_x000D_
									  &lt;/td&gt;_x000D_
									&lt;/tr&gt;_x000D_
								&lt;/table&gt;_x000D_
							&lt;/div&gt;_x000D_
_x000D_
							&lt;div class="content-wrap" style="padding-top: 40px;"&gt;_x000D_
								&lt;table width="100%" cellspacing="0" cellpadding="0"&gt;_x000D_
									&lt;tr class="aligncenter"&gt;_x000D_
      									&lt;td&gt;_x000D_
      										&lt;b style="color:#000"&gt;¡Descubre todo lo que puedes hacer en el ICONSTRUYE y como mejoramos tu gestión!&lt;/b&gt;&lt;br&gt;&lt;br&gt;_x000D_
      									&lt;/td&gt;_x000D_
      								&lt;/tr&gt;_x000D_
      								&lt;tr class="aligncenter"&gt;_x000D_
      									&lt;td&gt;_x000D_
      										&lt;a href="https://www.iconstruye.com/index.html" class="btn-primary"&gt;Ingresa a ICONSTRUYE&lt;/a&gt;_x000D_
      									&lt;/td&gt;_x000D_
      								&lt;/tr&gt;_x000D_
								&lt;/table&gt;_x000D_
							&lt;/div&gt;_x000D_
_x000D_
							&lt;div class="content-wrap"&gt;_x000D_
								&lt;table width="100%" cellspacing="0" cellpadding="0"&gt;_x000D_
									&lt;tr&gt;_x000D_
										&lt;td class="content-block"&gt;&lt;p style="color:#000"&gt;Saluda atentamente&lt;br&gt;&lt;b style="color:#000"&gt;Equipo ICONSTRUYE &lt;br&gt;&lt;span style="color: #FF6B00;"&gt;ICONSTRUYE®&lt;/span&gt;&lt;/b&gt;&lt;/p&gt;_x000D_
										&lt;/td&gt;_x000D_
									&lt;/tr&gt;_x000D_
								&lt;/table&gt;_x000D_
							&lt;/div&gt;_x000D_
							&lt;/td&gt;_x000D_
						&lt;/tr&gt;_x000D_
					&lt;/table&gt;_x000D_
							&lt;div class="pre-footer"&gt;_x000D_
								&lt;table id="banner" width="100%" style="background-color: #fff; padding: 15px 20px"&gt;_x000D_
									&lt;tr&gt;_x000D_
										&lt;td class="w50"&gt;_x000D_
											&lt;p&gt;Ahora que posees una cuenta,&lt;br&gt;&lt;b&gt;descarga nuestra App mobile&lt;/b&gt;&lt;/p&gt;_x000D_
										&lt;/td&gt;_x000D_
										&lt;td class="alignright"&gt;_x000D_
											&lt;a href="https://play.google.com/store/apps/details?id=iConstruye.Mobile&amp;hl=es_CL&amp;gl=US" target="_blank"&gt;&lt;img align="center" alt="" src="http://diseno.iconstruye.cl//mailing/templates/img/google-play.png" width="100" class="img-app"&gt;&lt;/a&gt;_x000D_
											&lt;a href="https://apps.apple.com/cl/app/iconstruye/id1408881055" target="_blank"&gt;&lt;img align="center" alt="" src="http://diseno.iconstruye.cl//mailing/templates/img/app-store.png" class="img-app"&gt;&lt;/a&gt;_x000D_
										&lt;/td&gt;_x000D_
									&lt;/tr&gt;_x000D_
								&lt;/table&gt;_x000D_
							&lt;/div&gt;_x000D_
							&lt;div class="footer"&gt;_x000D_
								&lt;table width="100%"&gt;_x000D_
									&lt;tr&gt;_x000D_
										&lt;td class="aligncenter content-block"&gt;_x000D_
											&lt;em style="font-size: 12px !important;"&gt;Correo enviado a través de &lt;a href="https://www.iconstruye.com/index.html?ReturnUrl=%2fincludes%2fdefault.aspx" style="color: #ff6b00;"&gt;ICONSTRUYE&lt;/a&gt;®&amp;nbsp;·_x000D_
        									Copyright ©&amp;nbsp; Todos los Derechos Reservados&lt;/em&gt;&lt;br&gt;_x000D_
										&lt;/td&gt;_x000D_
									&lt;/tr&gt;_x000D_
								&lt;/table&gt;_x000D_
							&lt;/div&gt;_x000D_
							&lt;/td&gt;_x000D_
							&lt;td&gt;_x000D_
							&lt;/td&gt;_x000D_
						&lt;/tr&gt;_x000D_
					&lt;/table&gt;_x000D_
					&lt;/body&gt;_x000D_
					&lt;/html&gt;</t>
  </si>
  <si>
    <t>Estimado Sr. &lt;nombusuario&gt;:    &lt;br&gt;_x000D_
&lt;br&gt;_x000D_
Junto con saludarle, le avisamos que el &lt;fechaenvio&gt; usted recibió el subcontrato número &lt;numoc&gt;, generado por la empresa &lt;nombempresa&gt;.    &lt;br&gt;_x000D_
Visite &lt;link&gt; para responderlo. &lt;br&gt;_x000D_
&lt;br&gt;_x000D_
Atentamente,  &lt;br&gt;_x000D_
Iconstruye  Mi brazo derecho  &lt;br&gt;_x000D_
&lt;link&gt; &lt;br&gt;</t>
  </si>
  <si>
    <t xml:space="preserve">&lt;div style="width:600px;"&gt;    &lt;p style="font-family:Arial; font-size:12px; text-_x000D_
_x000D_
 _x000D_
_x000D_
align:left;"&gt;&lt;b&gt;Estimados Sr. &lt;nombreproveedor&gt;&lt;/b&gt;&lt;br/&gt;&lt;br/&gt;    Por encargo del &lt;b&gt;Holding _x000D_
_x000D_
 _x000D_
_x000D_
Salfacorp&lt;/b&gt; le informamos que el día &lt;fechaenvio&gt;  le ha generado la orden de compra N° &lt;NUMOC&gt;. Para _x000D_
_x000D_
 _x000D_
_x000D_
visualizar haga &lt;link&gt;.&lt;br&gt;&lt;br&gt;Para aceptar o rechazar esta orden de compra debe responder este correo, _x000D_
_x000D_
 _x000D_
_x000D_
&lt;b&gt;como plazo máximo dentro de 8 horas hábiles&lt;/b&gt;, señalando claramente su decisión. En caso de _x000D_
_x000D_
 _x000D_
_x000D_
rechazar la OC debe explicar claramente las razones del rechazo.&lt;br&gt;En caso de cualquier duda o _x000D_
_x000D_
 _x000D_
_x000D_
consulta póngase en contacto con iConstruye - B2B SALFA al 24861220 o al e-mail &lt;a _x000D_
_x000D_
 _x000D_
_x000D_
mailto="b2bsalfa@iconstruye.com"&gt;b2bsalfa@iconstruye.com&lt;/a&gt;.&lt;br&gt;&lt;br&gt;&lt;b&gt;Si usted no es el representante _x000D_
_x000D_
 _x000D_
_x000D_
interno en su organización para gestionar esta Orden de Compra, responda este correo indicado el nombre _x000D_
_x000D_
 _x000D_
_x000D_
y correo electrónico del contacto.&lt;/b&gt;&lt;br&gt;&lt;br&gt;&lt;b&gt;Al aceptar la OC "Preliminar" accederá a la OC oficial _x000D_
_x000D_
 _x000D_
_x000D_
de SALFACORP documento válido para proceso de facturación y pago.&lt;/span&gt;&lt;/b&gt;&lt;br/&gt;&lt;br&gt;&lt;a _x000D_
_x000D_
 _x000D_
_x000D_
href="https://www.iconstruye.com/"&gt;Contáctenos&lt;/a&gt; para su _x000D_
_x000D_
 _x000D_
_x000D_
incorporación como &lt;a _x000D_
_x000D_
 _x000D_
_x000D_
href="https://www.iconstruye.com/"&gt;Proveedor Integrado&lt;/a&gt;, a _x000D_
_x000D_
 _x000D_
_x000D_
la Comunidad de Iconstruye y  realizar en línea la gestión completa de sus negocios con SALFACORP  y _x000D_
_x000D_
 _x000D_
_x000D_
con las otras 170 &lt;a _x000D_
_x000D_
 _x000D_
_x000D_
href="https://cl.iconstruye.com/lista_clientes/pdf/constructoras-201806.pdf"&gt;Constructoras&lt;/a&gt; _x000D_
_x000D_
 _x000D_
_x000D_
que gestionan su abastecimiento a través de &lt;a _x000D_
_x000D_
 _x000D_
_x000D_
href="https://www.iconstruye.com/"&gt;www.iconstruye.com&lt;/a&gt;&lt;br&gt;&lt;br&gt;Atte,&lt;br&gt;Iconstruye, S.A.&lt;br&gt;Servicio de _x000D_
_x000D_
 _x000D_
_x000D_
Activación de Órdenes de Compra.&lt;/b&gt;&lt;br&gt;&lt;img src="http://cl.iconstruye.com/images/logo.jpg" _x000D_
_x000D_
 _x000D_
_x000D_
/img&gt;&lt;br/&gt;&lt;br/&gt;   &lt;span style="font-size:10px;"&gt;&lt;b&gt;PD1: Recomendamos la utilización de Internet _x000D_
_x000D_
 _x000D_
_x000D_
Explorer 7 ó superior.&lt;/span&gt;&lt;/b&gt;&lt;br/&gt;    &lt;span style="font-size:10px;"&gt;&lt;b&gt;PD2: Para visualizar la _x000D_
_x000D_
 _x000D_
_x000D_
orden, debe tener Adobe Acrobat (TM) Reader instalado en su computador. &lt;a _x000D_
_x000D_
 _x000D_
_x000D_
href="http://get.adobe.com/es/reader"&gt;Descarguelo aquí&lt;/a&gt;.&lt;/span&gt;&lt;/b&gt;     &lt;/p&gt;    &lt;/div&gt;    </t>
  </si>
  <si>
    <t>Estimado Sr. &lt;nombusuario&gt;:&lt;br&gt;&lt;br&gt;Junto con saludarle, informamos a usted que tiene una nueva Orden de Compra pendiente de Aprobar.&lt;br&gt;&lt;br&gt;Solicitante:    &lt;nombsolicitante&gt;&lt;br&gt;N° de OC:    &lt;numoc&gt;&lt;br&gt;Nombre OC:    &lt;nomoc&gt;&lt;br&gt;Centro de Gestión:   &lt;nomorgc&gt;&lt;br&gt;Fecha Creación:   &lt;fechacreacion&gt;&lt;br&gt;Tipo de Aprobación:  OC Supera el gasto del comprador&lt;br&gt;Monto a Aprobar: &lt;montoaprobar&gt;&lt;br&gt;&lt;br&gt;Podrá Aprobar este documento ya sea desde &lt;link&gt; o bien ingresando desde su dispositivo móvil a _x000D_
&lt;a href="http://mobile.iconstruye.com" target="_blank"&gt;mobile.iconstruye.com&lt;/a&gt;&lt;br&gt;&lt;br&gt;&lt;br&gt;Atentamente,&lt;br&gt;&lt;br&gt;Equipo iConstruye&lt;br&gt;&lt;link&gt; &lt;br&gt;Mesa de Ayuda&lt;br&gt;+56 22 486 11 11&lt;br&gt;&lt;img src="http://cl.iconstruye.com/images/logo.jpg" /img&gt;</t>
  </si>
  <si>
    <t>&lt;div id="header"&gt;_x000D_
&lt;/div&gt;_x000D_
&lt;div id="body"&gt;_x000D_
Estimado Sr. &lt;nombusuario&gt;:&lt;br&gt;&lt;br&gt;Junto con saludarle, informamos a usted que ha sido invitado a participar en el flujo de aprobación de una Orden de Compra. &lt;br&gt;&lt;br&gt;Solicitante:    &lt;nombsolicitante&gt;&lt;br&gt;Nº de OC:    &lt;numoc&gt;&lt;br&gt;Nombre OC:    &lt;nomoc&gt;&lt;br&gt;Centro de Gestión:   &lt;nomorgc&gt;&lt;br&gt;Fecha Creación:   &lt;fechacreacion&gt;&lt;br&gt;Tipo de Aprobación:  Aprobador agregado al flujo.&lt;br&gt;&lt;br&gt;Podrá Aprobar este documento ya sea desde &lt;link&gt; o bien ingresando desde su dispositivo móvil a &lt;link2&gt;&lt;br&gt;&lt;br&gt;&lt;br&gt;Atentamente, _x000D_
&lt;/div&gt;_x000D_
&lt;div id="footer"&gt;_x000D_
&lt;br&gt;&lt;br&gt;Equipo iConstruye&lt;br&gt;&lt;link&gt; &lt;br&gt;Mesa de Ayuda&lt;br&gt;486 11 11&lt;br&gt;&lt;img src="http://cl.iconstruye.com/images/logo.jpg" /img&gt;_x000D_
&lt;/div&gt;</t>
  </si>
  <si>
    <t>&lt;div style="width:600px"&gt;_x000D_
&lt;p style="font-family:Arial;font-size:12px;text-align:left"&gt;_x000D_
&lt;b&gt;Estimado(a) &lt;NombreUsuario&gt;:&lt;/b&gt;_x000D_
&lt;br/&gt;&lt;br/&gt;_x000D_
Te informamos que la Recepción de Hormigón N° &lt;NumRecepcion&gt;, del Centro de Gestión &lt;CentroGestion&gt;, está pendiente de atención._x000D_
&lt;/p&gt;_x000D_
&lt;br/&gt;_x000D_
&lt;p style="font-family:Arial;font-size:12px;text-align:left"&gt;_x000D_
Atentamente,_x000D_
&lt;br/&gt;&lt;br/&gt;_x000D_
Equipo iConstruye_x000D_
&lt;br/&gt;&lt;br/&gt;_x000D_
www.iconstruye.com_x000D_
&lt;br/&gt;&lt;br/&gt;_x000D_
¿Dudas? Escríbenos a &lt;a href="mailto:comercial@iconstruye.com"&gt;comercial@iconstruye.com &lt;/a&gt;_x000D_
&lt;br&gt;&lt;br/&gt;_x000D_
&lt;/p&gt;_x000D_
&lt;/div&gt;_x000D_
&lt;img src="http://cl.iconstruye.com/images/logo.jpg"&gt;_x000D_
&lt;/body&gt;_x000D_
&lt;/html&gt;</t>
  </si>
  <si>
    <t>&lt;div style="width:600px"&gt;_x000D_
&lt;p style="font-family:Arial;font-size:12px;text-align:left"&gt;_x000D_
&lt;b&gt;Estimado(a) &lt;NombreUsuario&gt;:&lt;/b&gt;_x000D_
&lt;br/&gt;&lt;br/&gt;_x000D_
Te informamos que la Recepción On Field N° &lt;NumRecepcion&gt;, del Centro de Gestión &lt;CentroGestion&gt;, está pendiente de atención._x000D_
&lt;/p&gt;_x000D_
&lt;br/&gt;_x000D_
&lt;p style="font-family:Arial;font-size:12px;text-align:left"&gt;_x000D_
Atentamente,_x000D_
&lt;br/&gt;&lt;br/&gt;_x000D_
Equipo iConstruye_x000D_
&lt;br/&gt;&lt;br/&gt;_x000D_
www.iconstruye.com_x000D_
&lt;br/&gt;&lt;br/&gt;_x000D_
¿Dudas? Escríbenos a &lt;a href="mailto:comercial@iconstruye.com"&gt;comercial@iconstruye.com &lt;/a&gt;_x000D_
&lt;br&gt;&lt;br/&gt;_x000D_
&lt;/p&gt;_x000D_
&lt;/div&gt;_x000D_
&lt;img src="http://cl.iconstruye.com/images/logo.jpg"&gt;_x000D_
&lt;/body&gt;_x000D_
&lt;/html&gt;</t>
  </si>
  <si>
    <t>&lt;div style="width:600px"&gt;_x000D_
&lt;p style="font-family:Arial;font-size:12px;text-align:left"&gt;_x000D_
&lt;b&gt;Estimado(a) &lt;NombreUsuario&gt;:&lt;/b&gt;_x000D_
&lt;br/&gt;&lt;br/&gt;_x000D_
Te informamos que la Solicitud de Pedido de Material N° &lt;NumSolicitud&gt;, del Centro de Gestión &lt;CentroGestion&gt;, está pendiente de atención._x000D_
&lt;/p&gt;_x000D_
&lt;br/&gt;_x000D_
&lt;p style="font-family:Arial;font-size:12px;text-align:left"&gt;_x000D_
Atentamente,_x000D_
&lt;br/&gt;&lt;br/&gt;_x000D_
Equipo iConstruye_x000D_
&lt;br/&gt;&lt;br/&gt;_x000D_
www.iconstruye.com_x000D_
&lt;br/&gt;&lt;br/&gt;_x000D_
¿Dudas? Escríbenos a &lt;a href="mailto:comercial@iconstruye.com"&gt;comercial@iconstruye.com &lt;/a&gt;_x000D_
&lt;br&gt;&lt;br/&gt;_x000D_
&lt;/p&gt;_x000D_
&lt;/div&gt;_x000D_
&lt;img src="http://cl.iconstruye.com/images/logo.jpg"&gt;_x000D_
&lt;/body&gt;_x000D_
&lt;/html&gt;</t>
  </si>
  <si>
    <t>&lt;div style="width:600px"&gt;_x000D_
&lt;p style="font-family:Arial;font-size:12px;text-align:left"&gt;_x000D_
&lt;b&gt;Estimado(a) &lt;NombreUsuario&gt;:&lt;/b&gt;_x000D_
&lt;br/&gt;&lt;br/&gt;_x000D_
Te informamos que la Solicitud de Consumo N° &lt;NumConsumo&gt;, del Centro de Gestión &lt;CentroGestion&gt;, está pendiente de atención._x000D_
&lt;/p&gt;_x000D_
&lt;br/&gt;_x000D_
&lt;p style="font-family:Arial;font-size:12px;text-align:left"&gt;_x000D_
Atentamente,_x000D_
&lt;br/&gt;&lt;br/&gt;_x000D_
Equipo iConstruye_x000D_
&lt;br/&gt;&lt;br/&gt;_x000D_
www.iconstruye.com_x000D_
&lt;br/&gt;&lt;br/&gt;_x000D_
¿Dudas? Escríbenos a &lt;a href="mailto:comercial@iconstruye.com"&gt;comercial@iconstruye.com &lt;/a&gt;_x000D_
&lt;br&gt;&lt;br/&gt;_x000D_
&lt;/p&gt;_x000D_
&lt;/div&gt;_x000D_
&lt;img src="http://cl.iconstruye.com/images/logo.jpg"&gt;_x000D_
&lt;/body&gt;_x000D_
&lt;/html&gt;</t>
  </si>
  <si>
    <t>&lt;!DOCTYPE html&gt;_x000D_
&lt;html lang="en"&gt;_x000D_
&lt;head&gt;_x000D_
&lt;meta http-equiv="Content-Type" content="text/html; charset=UTF-8"&gt;_x000D_
&lt;meta name="viewport" content="width=device-width, initial-scale=1"&gt;_x000D_
&lt;meta http-equiv="X-UA-Compatible" content="IE=edge"&gt;_x000D_
&lt;div id="header"&gt;_x000D_
&lt;/div&gt;_x000D_
&lt;div id="body"&gt;_x000D_
Estimado(a) Sr(a). &lt;nombusuario&gt;:&lt;br&gt;&lt;br&gt;Junto con saludarle, informamos a usted que tiene un nuevo Traspaso Pendiente de Aprobar.&lt;br&gt;&lt;br&gt;Solicitante:     &lt;nombre de quien hace el traspaso&gt;&lt;br&gt;N° del Traspaso:    &lt;numtraspaso&gt;&lt;br&gt;N° del Documento:    &lt;numrespaldo&gt;&lt;br&gt;Centro de Gestión de origen:   &lt;nomorgc&gt;&lt;br&gt;Fecha del Traspaso:   &lt;fechaenvio&gt;&lt;br&gt;Centro de Gestión de destino:   &lt;nomorgcdestino&gt;&lt;br&gt;&lt;br&gt;Podrá Aprobar este traspaso ingresando al módulo Bodega, opción Salida, Aprobar Traspasos. En caso de requerir información adicional, comuníquese con nosotros al 486 11 11.&lt;br&gt;&lt;br&gt;&lt;br&gt;Atentamente,&lt;br&gt;&lt;br&gt;Equipo agilice&lt;br&gt;&lt;link&gt;&lt;br&gt;Mesa de Ayuda&lt;br&gt;486 11 11&lt;br&gt;_x000D_
&lt;div id="footer" style="width:300px"&gt;_x000D_
&lt;img src="https://www.agilice.com/hubfs/Logo%20Agilice.svg" /img&gt;_x000D_
&lt;/div&gt;_x000D_
&lt;/html&gt;</t>
  </si>
  <si>
    <t>#FF6B00</t>
  </si>
  <si>
    <t>https://i.ibb.co/TcBfKbx/header-placeholder.png</t>
  </si>
  <si>
    <t>http://diseno.iconstruye.cl/ic/desarrollando/configuracion-celula/mailing/img/header-generico.png</t>
  </si>
  <si>
    <t>#FF3C00</t>
  </si>
  <si>
    <t>mesadeayuda@iconstruye.com</t>
  </si>
  <si>
    <t>http://diseno.iconstruye.cl/mailing/newsletter/images/201606/201606-logo-iconstruye.jpg</t>
  </si>
  <si>
    <t>contactenos@iconstruye.com</t>
  </si>
  <si>
    <t>contactenos@agilice.com</t>
  </si>
  <si>
    <t>D</t>
  </si>
  <si>
    <t>portalproveedores@iconstruye.com</t>
  </si>
  <si>
    <t>Correo</t>
  </si>
  <si>
    <t>Versiones para redmat y agilice</t>
  </si>
  <si>
    <t>mesadeayuda@iconstruye,com</t>
  </si>
  <si>
    <t>https://cl.iconstruye.com/images/banner-generico.jpg</t>
  </si>
  <si>
    <t>Landing</t>
  </si>
  <si>
    <t>https://info.iconstruye.com/rinde-agil</t>
  </si>
  <si>
    <t>Obs</t>
  </si>
  <si>
    <t>PDF</t>
  </si>
  <si>
    <t>https://cl.iconstruye.com/lista_clientes/pdf/constructoras-201806.pdf</t>
  </si>
  <si>
    <t>solo si tiene sentido en el contexto redmat/agilice</t>
  </si>
  <si>
    <t>comercial@iconstruye.com</t>
  </si>
  <si>
    <t>Se necesita saber si es posible crear versiones para agilice/redmat, o en su defecto saber si se quita de los template agilice/redmat</t>
  </si>
  <si>
    <t>Header(1501x211px)</t>
  </si>
  <si>
    <t>Banner (600x130px)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</si>
</sst>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Display"/>
      <family val="2"/>
      <scheme val="major"/>
    </font>
    <font>
      <u/>
      <sz val="11"/>
      <name val="Aptos Display"/>
      <family val="2"/>
      <scheme val="maj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11" xfId="0" applyBorder="1"/>
    <xf numFmtId="0" fontId="0" fillId="0" borderId="12" xfId="0" applyBorder="1"/>
    <xf numFmtId="0" fontId="1" fillId="23" borderId="12" xfId="32" applyBorder="1"/>
    <xf numFmtId="0" fontId="0" fillId="0" borderId="13" xfId="0" applyBorder="1"/>
    <xf numFmtId="0" fontId="0" fillId="0" borderId="14" xfId="0" applyBorder="1"/>
    <xf numFmtId="0" fontId="0" fillId="0" borderId="10" xfId="0" applyBorder="1"/>
    <xf numFmtId="0" fontId="1" fillId="12" borderId="10" xfId="21" applyBorder="1"/>
    <xf numFmtId="0" fontId="17" fillId="25" borderId="10" xfId="34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12" borderId="17" xfId="21" applyBorder="1"/>
    <xf numFmtId="0" fontId="17" fillId="25" borderId="17" xfId="34" applyBorder="1"/>
    <xf numFmtId="0" fontId="0" fillId="0" borderId="18" xfId="0" applyBorder="1"/>
    <xf numFmtId="0" fontId="0" fillId="12" borderId="10" xfId="21" applyFont="1" applyBorder="1"/>
    <xf numFmtId="0" fontId="18" fillId="0" borderId="0" xfId="42"/>
    <xf numFmtId="0" fontId="18" fillId="0" borderId="0" xfId="42" applyAlignment="1">
      <alignment vertical="center"/>
    </xf>
    <xf numFmtId="0" fontId="19" fillId="0" borderId="0" xfId="0" applyFont="1"/>
    <xf numFmtId="0" fontId="20" fillId="0" borderId="0" xfId="42" applyFont="1"/>
    <xf numFmtId="0" fontId="19" fillId="0" borderId="0" xfId="0" applyFont="1" applyAlignment="1">
      <alignment vertical="center"/>
    </xf>
    <xf numFmtId="0" fontId="20" fillId="0" borderId="0" xfId="42" applyFont="1" applyAlignment="1">
      <alignment vertical="center"/>
    </xf>
    <xf numFmtId="0" fontId="19" fillId="0" borderId="0" xfId="42" applyFont="1"/>
    <xf numFmtId="0" fontId="19" fillId="0" borderId="0" xfId="42" applyFont="1" applyAlignment="1">
      <alignment vertical="center"/>
    </xf>
    <xf numFmtId="0" fontId="1" fillId="15" borderId="0" xfId="24"/>
    <xf numFmtId="0" fontId="16" fillId="0" borderId="0" xfId="0" applyFont="1"/>
    <xf numFmtId="0" fontId="19" fillId="0" borderId="0" xfId="24" applyFont="1" applyFill="1"/>
    <xf numFmtId="0" fontId="18" fillId="0" borderId="0" xfId="42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9">
    <dxf>
      <font>
        <strike val="0"/>
        <outline val="0"/>
        <shadow val="0"/>
        <u val="none"/>
        <vertAlign val="baseline"/>
        <sz val="11"/>
        <color auto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Aptos Display"/>
        <family val="2"/>
        <scheme val="major"/>
      </font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000-000000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IDMAIL" tableColumnId="1"/>
      <queryTableField id="2" name="MREMITENTE" tableColumnId="2"/>
      <queryTableField id="3" name="MREMITENTEMAIL" tableColumnId="3"/>
      <queryTableField id="4" name="MASUNTO" tableColumnId="4"/>
      <queryTableField id="5" name="MCUERPO1" tableColumnId="5"/>
      <queryTableField id="8" dataBound="0" tableColumnId="8"/>
      <queryTableField id="6" name="DESCRIPCION" tableColumnId="6"/>
      <queryTableField id="7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MAIL" displayName="MAIL" ref="A1:H135" tableType="queryTable" totalsRowShown="0">
  <autoFilter ref="A1:H135" xr:uid="{00000000-0009-0000-0100-000006000000}"/>
  <sortState xmlns:xlrd2="http://schemas.microsoft.com/office/spreadsheetml/2017/richdata2" ref="A2:H135">
    <sortCondition ref="H1:H135"/>
  </sortState>
  <tableColumns count="8">
    <tableColumn id="1" xr3:uid="{00000000-0010-0000-0000-000001000000}" uniqueName="1" name="IDMAIL" queryTableFieldId="1"/>
    <tableColumn id="2" xr3:uid="{00000000-0010-0000-0000-000002000000}" uniqueName="2" name="MREMITENTE" queryTableFieldId="2" dataDxfId="28"/>
    <tableColumn id="3" xr3:uid="{00000000-0010-0000-0000-000003000000}" uniqueName="3" name="MREMITENTEMAIL" queryTableFieldId="3" dataDxfId="27"/>
    <tableColumn id="4" xr3:uid="{00000000-0010-0000-0000-000004000000}" uniqueName="4" name="MASUNTO" queryTableFieldId="4" dataDxfId="26"/>
    <tableColumn id="5" xr3:uid="{00000000-0010-0000-0000-000005000000}" uniqueName="5" name="MCUERPO1" queryTableFieldId="5" dataDxfId="25"/>
    <tableColumn id="8" xr3:uid="{00000000-0010-0000-0000-000008000000}" uniqueName="8" name="MCUERPO_A" queryTableFieldId="8" dataDxfId="24">
      <calculatedColumnFormula array="1">ReplaceText(A2, 'REPLACES'!$A:$A,'REPLACES'!$B:$B, MAIL[[#This Row],[MCUERPO1]], "AGILICE")</calculatedColumnFormula>
    </tableColumn>
    <tableColumn id="6" xr3:uid="{00000000-0010-0000-0000-000006000000}" uniqueName="6" name="DESCRIPCION" queryTableFieldId="6" dataDxfId="23"/>
    <tableColumn id="7" xr3:uid="{00000000-0010-0000-0000-000007000000}" uniqueName="7" name="TANDA" queryTableFieldId="7" dataDxfId="22">
      <calculatedColumnFormula>_xlfn.XLOOKUP(MAIL[[#This Row],[IDMAIL]],Tabla1[IDMAIL],Tabla1[TANDA])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P124" totalsRowShown="0" headerRowDxfId="21" headerRowBorderDxfId="20" tableBorderDxfId="19" totalsRowBorderDxfId="18">
  <autoFilter ref="A1:P124" xr:uid="{00000000-0009-0000-0100-000001000000}"/>
  <tableColumns count="16">
    <tableColumn id="8" xr3:uid="{00000000-0010-0000-0100-000008000000}" name="ID" dataDxfId="17"/>
    <tableColumn id="1" xr3:uid="{00000000-0010-0000-0100-000001000000}" name="IDMAIL" dataDxfId="16"/>
    <tableColumn id="2" xr3:uid="{00000000-0010-0000-0100-000002000000}" name="MREMITENTE" dataDxfId="15"/>
    <tableColumn id="14" xr3:uid="{00000000-0010-0000-0100-00000E000000}" name="MREMITENTE_A" dataDxfId="14"/>
    <tableColumn id="15" xr3:uid="{00000000-0010-0000-0100-00000F000000}" name="M_REMITENTE_R" dataDxfId="13"/>
    <tableColumn id="3" xr3:uid="{00000000-0010-0000-0100-000003000000}" name="MREMITENTEEMAIL" dataDxfId="12"/>
    <tableColumn id="4" xr3:uid="{00000000-0010-0000-0100-000004000000}" name="MASUNTO" dataDxfId="11"/>
    <tableColumn id="5" xr3:uid="{00000000-0010-0000-0100-000005000000}" name="MCUERPO1" dataDxfId="10"/>
    <tableColumn id="6" xr3:uid="{00000000-0010-0000-0100-000006000000}" name="MDESCRIPCION" dataDxfId="9"/>
    <tableColumn id="10" xr3:uid="{00000000-0010-0000-0100-00000A000000}" name="ASUNTO_A" dataDxfId="8"/>
    <tableColumn id="11" xr3:uid="{00000000-0010-0000-0100-00000B000000}" name="MCUERPO_A" dataDxfId="7"/>
    <tableColumn id="12" xr3:uid="{00000000-0010-0000-0100-00000C000000}" name="ASUNTO_R" dataDxfId="6"/>
    <tableColumn id="13" xr3:uid="{00000000-0010-0000-0100-00000D000000}" name="MCUERPO_R" dataDxfId="5"/>
    <tableColumn id="9" xr3:uid="{00000000-0010-0000-0100-000009000000}" name="TANDA" dataDxfId="4">
      <calculatedColumnFormula>_xlfn.XLOOKUP(Tabla1[[#This Row],[IDMAIL]],Hoja3!B:B,Hoja3!G:G)</calculatedColumnFormula>
    </tableColumn>
    <tableColumn id="16" xr3:uid="{00000000-0010-0000-0100-000010000000}" name="DONE"/>
    <tableColumn id="17" xr3:uid="{00000000-0010-0000-0100-000011000000}" name="OBS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E9" totalsRowShown="0">
  <autoFilter ref="A1:E9" xr:uid="{00000000-0009-0000-0100-000004000000}"/>
  <sortState xmlns:xlrd2="http://schemas.microsoft.com/office/spreadsheetml/2017/richdata2" ref="A2:E9">
    <sortCondition descending="1" ref="A1:A9"/>
  </sortState>
  <tableColumns count="5">
    <tableColumn id="1" xr3:uid="{00000000-0010-0000-0200-000001000000}" name="Tipo"/>
    <tableColumn id="2" xr3:uid="{00000000-0010-0000-0200-000002000000}" name="URL"/>
    <tableColumn id="5" xr3:uid="{00000000-0010-0000-0200-000005000000}" name="Obs"/>
    <tableColumn id="3" xr3:uid="{00000000-0010-0000-0200-000003000000}" name="Placeholder"/>
    <tableColumn id="4" xr3:uid="{00000000-0010-0000-0200-000004000000}" name="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REPLACES" displayName="REPLACES" ref="A1:C17" totalsRowShown="0" dataDxfId="3">
  <autoFilter ref="A1:C17" xr:uid="{00000000-0009-0000-0100-000005000000}"/>
  <tableColumns count="3">
    <tableColumn id="1" xr3:uid="{00000000-0010-0000-0300-000001000000}" name="ORIGINAL" dataDxfId="2"/>
    <tableColumn id="2" xr3:uid="{00000000-0010-0000-0300-000002000000}" name="REEMPLAZO AGILICE" dataDxfId="1"/>
    <tableColumn id="3" xr3:uid="{00000000-0010-0000-0300-000003000000}" name="REEMPLAZO REDMA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cl.iconstruye.com/lista_clientes/pdf/constructoras-201806.pdf" TargetMode="External"/><Relationship Id="rId3" Type="http://schemas.openxmlformats.org/officeDocument/2006/relationships/hyperlink" Target="mailto:portalproveedores@iconstruye.com" TargetMode="External"/><Relationship Id="rId7" Type="http://schemas.openxmlformats.org/officeDocument/2006/relationships/hyperlink" Target="https://info.iconstruye.com/rinde-agil" TargetMode="External"/><Relationship Id="rId12" Type="http://schemas.openxmlformats.org/officeDocument/2006/relationships/table" Target="../tables/table3.xml"/><Relationship Id="rId2" Type="http://schemas.openxmlformats.org/officeDocument/2006/relationships/hyperlink" Target="https://i.ibb.co/TcBfKbx/header-placeholder.png" TargetMode="External"/><Relationship Id="rId1" Type="http://schemas.openxmlformats.org/officeDocument/2006/relationships/hyperlink" Target="https://diseno.iconstruye.cl/ic/desarrollando/configuracion-celula/mailing/img/header-generico.png" TargetMode="External"/><Relationship Id="rId6" Type="http://schemas.openxmlformats.org/officeDocument/2006/relationships/hyperlink" Target="mailto:contactenos@iconstruye.com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mailto:mesadeayuda@iconstruye,com" TargetMode="External"/><Relationship Id="rId10" Type="http://schemas.openxmlformats.org/officeDocument/2006/relationships/hyperlink" Target="mailto:comercial@iconstruye.com" TargetMode="External"/><Relationship Id="rId4" Type="http://schemas.openxmlformats.org/officeDocument/2006/relationships/hyperlink" Target="mailto:portalproveedores@iconstruye.com" TargetMode="External"/><Relationship Id="rId9" Type="http://schemas.openxmlformats.org/officeDocument/2006/relationships/hyperlink" Target="https://cl.iconstruye.com/images/banner-generico.jp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redmat.iconstruye.com/" TargetMode="External"/><Relationship Id="rId13" Type="http://schemas.openxmlformats.org/officeDocument/2006/relationships/hyperlink" Target="http://diseno.iconstruye.cl/ic/desarrollando/configuracion-celula/mailing/img/header-generico.png" TargetMode="External"/><Relationship Id="rId18" Type="http://schemas.openxmlformats.org/officeDocument/2006/relationships/hyperlink" Target="mailto:contactenos@agilice.com" TargetMode="External"/><Relationship Id="rId3" Type="http://schemas.openxmlformats.org/officeDocument/2006/relationships/hyperlink" Target="mailto:mesadeayuda@agilice.com" TargetMode="External"/><Relationship Id="rId21" Type="http://schemas.openxmlformats.org/officeDocument/2006/relationships/printerSettings" Target="../printerSettings/printerSettings4.bin"/><Relationship Id="rId7" Type="http://schemas.openxmlformats.org/officeDocument/2006/relationships/hyperlink" Target="https://apps.agilice.com/" TargetMode="External"/><Relationship Id="rId12" Type="http://schemas.openxmlformats.org/officeDocument/2006/relationships/hyperlink" Target="https://diseno.iconstruye.cl/ic/desarrollando/configuracion-celula/mailing/img/header-generico.png" TargetMode="External"/><Relationship Id="rId17" Type="http://schemas.openxmlformats.org/officeDocument/2006/relationships/hyperlink" Target="https://redmat.iconstruye.com/img/logo-redmat.png" TargetMode="External"/><Relationship Id="rId2" Type="http://schemas.openxmlformats.org/officeDocument/2006/relationships/hyperlink" Target="https://redmat.iconstruye.com/" TargetMode="External"/><Relationship Id="rId16" Type="http://schemas.openxmlformats.org/officeDocument/2006/relationships/hyperlink" Target="mailto:mesadeayuda@iconstruye.com" TargetMode="External"/><Relationship Id="rId20" Type="http://schemas.openxmlformats.org/officeDocument/2006/relationships/hyperlink" Target="https://apps.agilice.com/img/logo-agilice.png" TargetMode="External"/><Relationship Id="rId1" Type="http://schemas.openxmlformats.org/officeDocument/2006/relationships/hyperlink" Target="https://apps.agilice.com/" TargetMode="External"/><Relationship Id="rId6" Type="http://schemas.openxmlformats.org/officeDocument/2006/relationships/hyperlink" Target="http://www.iconstruye.com/" TargetMode="External"/><Relationship Id="rId11" Type="http://schemas.openxmlformats.org/officeDocument/2006/relationships/hyperlink" Target="https://i.ibb.co/TcBfKbx/header-placeholder.png" TargetMode="External"/><Relationship Id="rId5" Type="http://schemas.openxmlformats.org/officeDocument/2006/relationships/hyperlink" Target="https://redmat.iconstruye.com/img/logo-redmat.png" TargetMode="External"/><Relationship Id="rId15" Type="http://schemas.openxmlformats.org/officeDocument/2006/relationships/hyperlink" Target="https://i.ibb.co/TcBfKbx/header-placeholder.png" TargetMode="External"/><Relationship Id="rId10" Type="http://schemas.openxmlformats.org/officeDocument/2006/relationships/hyperlink" Target="https://i.ibb.co/TcBfKbx/header-placeholder.png" TargetMode="External"/><Relationship Id="rId19" Type="http://schemas.openxmlformats.org/officeDocument/2006/relationships/hyperlink" Target="mailto:contactenos@agilice.com" TargetMode="External"/><Relationship Id="rId4" Type="http://schemas.openxmlformats.org/officeDocument/2006/relationships/hyperlink" Target="mailto:mesadeayuda@agilice.com" TargetMode="External"/><Relationship Id="rId9" Type="http://schemas.openxmlformats.org/officeDocument/2006/relationships/hyperlink" Target="https://redmat.iconstruye.com/img/logo-redmat.png" TargetMode="External"/><Relationship Id="rId14" Type="http://schemas.openxmlformats.org/officeDocument/2006/relationships/hyperlink" Target="https://i.ibb.co/TcBfKbx/header-placeholder.png" TargetMode="External"/><Relationship Id="rId22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35"/>
  <sheetViews>
    <sheetView topLeftCell="B1" workbookViewId="0">
      <selection activeCell="E1" sqref="E1"/>
    </sheetView>
  </sheetViews>
  <sheetFormatPr defaultColWidth="10.90625" defaultRowHeight="14.5" x14ac:dyDescent="0.35"/>
  <cols>
    <col min="1" max="1" width="9" bestFit="1" customWidth="1"/>
    <col min="2" max="2" width="49.6328125" bestFit="1" customWidth="1"/>
    <col min="3" max="3" width="34.453125" bestFit="1" customWidth="1"/>
    <col min="4" max="4" width="80.453125" bestFit="1" customWidth="1"/>
    <col min="5" max="5" width="80.90625" bestFit="1" customWidth="1"/>
    <col min="6" max="6" width="80.90625" customWidth="1"/>
    <col min="7" max="7" width="120.1796875" bestFit="1" customWidth="1"/>
  </cols>
  <sheetData>
    <row r="1" spans="1:8" x14ac:dyDescent="0.35">
      <c r="A1" t="s">
        <v>353</v>
      </c>
      <c r="B1" t="s">
        <v>354</v>
      </c>
      <c r="C1" t="s">
        <v>364</v>
      </c>
      <c r="D1" t="s">
        <v>356</v>
      </c>
      <c r="E1" t="s">
        <v>357</v>
      </c>
      <c r="F1" t="s">
        <v>380</v>
      </c>
      <c r="G1" t="s">
        <v>358</v>
      </c>
      <c r="H1" t="s">
        <v>377</v>
      </c>
    </row>
    <row r="2" spans="1:8" x14ac:dyDescent="0.35">
      <c r="A2">
        <v>202</v>
      </c>
      <c r="B2" t="s">
        <v>0</v>
      </c>
      <c r="C2" t="s">
        <v>1</v>
      </c>
      <c r="D2" t="s">
        <v>2</v>
      </c>
      <c r="E2" t="s">
        <v>415</v>
      </c>
      <c r="F2" t="e" cm="1">
        <f t="array" ref="F2">ReplaceText(A2, 'REPLACES'!$A:$A,'REPLACES'!$B:$B, MAIL[[#This Row],[MCUERPO1]], "AGILICE")</f>
        <v>#VALUE!</v>
      </c>
      <c r="G2" t="s">
        <v>4</v>
      </c>
      <c r="H2">
        <f>_xlfn.XLOOKUP(MAIL[[#This Row],[IDMAIL]],Tabla1[IDMAIL],Tabla1[TANDA])</f>
        <v>1</v>
      </c>
    </row>
    <row r="3" spans="1:8" x14ac:dyDescent="0.35">
      <c r="A3">
        <v>200</v>
      </c>
      <c r="B3" t="s">
        <v>0</v>
      </c>
      <c r="C3" t="s">
        <v>5</v>
      </c>
      <c r="D3" t="s">
        <v>6</v>
      </c>
      <c r="E3" t="s">
        <v>424</v>
      </c>
      <c r="F3" t="e" cm="1">
        <f t="array" ref="F3">ReplaceText(A3, 'REPLACES'!$A:$A,'REPLACES'!$B:$B, MAIL[[#This Row],[MCUERPO1]], "AGILICE")</f>
        <v>#VALUE!</v>
      </c>
      <c r="G3" t="s">
        <v>8</v>
      </c>
      <c r="H3">
        <f>_xlfn.XLOOKUP(MAIL[[#This Row],[IDMAIL]],Tabla1[IDMAIL],Tabla1[TANDA])</f>
        <v>1</v>
      </c>
    </row>
    <row r="4" spans="1:8" x14ac:dyDescent="0.35">
      <c r="A4">
        <v>201</v>
      </c>
      <c r="B4" t="s">
        <v>0</v>
      </c>
      <c r="C4" t="s">
        <v>5</v>
      </c>
      <c r="D4" t="s">
        <v>9</v>
      </c>
      <c r="E4" t="s">
        <v>429</v>
      </c>
      <c r="F4" t="e" cm="1">
        <f t="array" ref="F4">ReplaceText(A4, 'REPLACES'!$A:$A,'REPLACES'!$B:$B, MAIL[[#This Row],[MCUERPO1]], "AGILICE")</f>
        <v>#VALUE!</v>
      </c>
      <c r="G4" t="s">
        <v>11</v>
      </c>
      <c r="H4">
        <f>_xlfn.XLOOKUP(MAIL[[#This Row],[IDMAIL]],Tabla1[IDMAIL],Tabla1[TANDA])</f>
        <v>1</v>
      </c>
    </row>
    <row r="5" spans="1:8" x14ac:dyDescent="0.35">
      <c r="A5">
        <v>118</v>
      </c>
      <c r="B5" t="s">
        <v>0</v>
      </c>
      <c r="C5" t="s">
        <v>1</v>
      </c>
      <c r="D5" t="s">
        <v>12</v>
      </c>
      <c r="E5" t="s">
        <v>13</v>
      </c>
      <c r="F5" t="e" cm="1">
        <f t="array" ref="F5">ReplaceText(A5, 'REPLACES'!$A:$A,'REPLACES'!$B:$B, MAIL[[#This Row],[MCUERPO1]], "AGILICE")</f>
        <v>#VALUE!</v>
      </c>
      <c r="G5" t="s">
        <v>14</v>
      </c>
      <c r="H5">
        <f>_xlfn.XLOOKUP(MAIL[[#This Row],[IDMAIL]],Tabla1[IDMAIL],Tabla1[TANDA])</f>
        <v>1</v>
      </c>
    </row>
    <row r="6" spans="1:8" x14ac:dyDescent="0.35">
      <c r="A6">
        <v>119</v>
      </c>
      <c r="B6" t="s">
        <v>0</v>
      </c>
      <c r="C6" t="s">
        <v>1</v>
      </c>
      <c r="D6" t="s">
        <v>15</v>
      </c>
      <c r="E6" t="s">
        <v>16</v>
      </c>
      <c r="F6" t="e" cm="1">
        <f t="array" ref="F6">ReplaceText(A6, 'REPLACES'!$A:$A,'REPLACES'!$B:$B, MAIL[[#This Row],[MCUERPO1]], "AGILICE")</f>
        <v>#VALUE!</v>
      </c>
      <c r="G6" t="s">
        <v>17</v>
      </c>
      <c r="H6">
        <f>_xlfn.XLOOKUP(MAIL[[#This Row],[IDMAIL]],Tabla1[IDMAIL],Tabla1[TANDA])</f>
        <v>1</v>
      </c>
    </row>
    <row r="7" spans="1:8" x14ac:dyDescent="0.35">
      <c r="A7">
        <v>126</v>
      </c>
      <c r="B7" t="s">
        <v>18</v>
      </c>
      <c r="C7" t="s">
        <v>1</v>
      </c>
      <c r="D7" t="s">
        <v>19</v>
      </c>
      <c r="E7" t="s">
        <v>20</v>
      </c>
      <c r="F7" t="e" cm="1">
        <f t="array" ref="F7">ReplaceText(A7, 'REPLACES'!$A:$A,'REPLACES'!$B:$B, MAIL[[#This Row],[MCUERPO1]], "AGILICE")</f>
        <v>#VALUE!</v>
      </c>
      <c r="G7" t="s">
        <v>19</v>
      </c>
      <c r="H7">
        <f>_xlfn.XLOOKUP(MAIL[[#This Row],[IDMAIL]],Tabla1[IDMAIL],Tabla1[TANDA])</f>
        <v>1</v>
      </c>
    </row>
    <row r="8" spans="1:8" x14ac:dyDescent="0.35">
      <c r="A8">
        <v>130</v>
      </c>
      <c r="B8" t="s">
        <v>21</v>
      </c>
      <c r="C8" t="s">
        <v>22</v>
      </c>
      <c r="D8" t="s">
        <v>23</v>
      </c>
      <c r="E8" t="s">
        <v>430</v>
      </c>
      <c r="F8" t="e" cm="1">
        <f t="array" ref="F8">ReplaceText(A8, 'REPLACES'!$A:$A,'REPLACES'!$B:$B, MAIL[[#This Row],[MCUERPO1]], "AGILICE")</f>
        <v>#VALUE!</v>
      </c>
      <c r="G8" t="s">
        <v>25</v>
      </c>
      <c r="H8">
        <f>_xlfn.XLOOKUP(MAIL[[#This Row],[IDMAIL]],Tabla1[IDMAIL],Tabla1[TANDA])</f>
        <v>1</v>
      </c>
    </row>
    <row r="9" spans="1:8" x14ac:dyDescent="0.35">
      <c r="A9">
        <v>6501</v>
      </c>
      <c r="B9" t="s">
        <v>26</v>
      </c>
      <c r="C9" t="s">
        <v>1</v>
      </c>
      <c r="D9" t="s">
        <v>27</v>
      </c>
      <c r="E9" t="s">
        <v>431</v>
      </c>
      <c r="F9" t="e" cm="1">
        <f t="array" ref="F9">ReplaceText(A9, 'REPLACES'!$A:$A,'REPLACES'!$B:$B, MAIL[[#This Row],[MCUERPO1]], "AGILICE")</f>
        <v>#VALUE!</v>
      </c>
      <c r="G9" t="s">
        <v>29</v>
      </c>
      <c r="H9">
        <f>_xlfn.XLOOKUP(MAIL[[#This Row],[IDMAIL]],Tabla1[IDMAIL],Tabla1[TANDA])</f>
        <v>1</v>
      </c>
    </row>
    <row r="10" spans="1:8" x14ac:dyDescent="0.35">
      <c r="A10">
        <v>6502</v>
      </c>
      <c r="B10" t="s">
        <v>26</v>
      </c>
      <c r="C10" t="s">
        <v>1</v>
      </c>
      <c r="D10" t="s">
        <v>30</v>
      </c>
      <c r="E10" t="s">
        <v>432</v>
      </c>
      <c r="F10" t="e" cm="1">
        <f t="array" ref="F10">ReplaceText(A10, 'REPLACES'!$A:$A,'REPLACES'!$B:$B, MAIL[[#This Row],[MCUERPO1]], "AGILICE")</f>
        <v>#VALUE!</v>
      </c>
      <c r="G10" t="s">
        <v>32</v>
      </c>
      <c r="H10">
        <f>_xlfn.XLOOKUP(MAIL[[#This Row],[IDMAIL]],Tabla1[IDMAIL],Tabla1[TANDA])</f>
        <v>1</v>
      </c>
    </row>
    <row r="11" spans="1:8" x14ac:dyDescent="0.35">
      <c r="A11">
        <v>133</v>
      </c>
      <c r="B11" t="s">
        <v>33</v>
      </c>
      <c r="C11" t="s">
        <v>34</v>
      </c>
      <c r="D11" t="s">
        <v>35</v>
      </c>
      <c r="E11" t="s">
        <v>36</v>
      </c>
      <c r="F11" t="e" cm="1">
        <f t="array" ref="F11">ReplaceText(A11, 'REPLACES'!$A:$A,'REPLACES'!$B:$B, MAIL[[#This Row],[MCUERPO1]], "AGILICE")</f>
        <v>#VALUE!</v>
      </c>
      <c r="G11" t="s">
        <v>37</v>
      </c>
      <c r="H11">
        <f>_xlfn.XLOOKUP(MAIL[[#This Row],[IDMAIL]],Tabla1[IDMAIL],Tabla1[TANDA])</f>
        <v>1</v>
      </c>
    </row>
    <row r="12" spans="1:8" x14ac:dyDescent="0.35">
      <c r="A12">
        <v>27</v>
      </c>
      <c r="B12" t="s">
        <v>18</v>
      </c>
      <c r="C12" t="s">
        <v>1</v>
      </c>
      <c r="D12" t="s">
        <v>38</v>
      </c>
      <c r="E12" t="s">
        <v>39</v>
      </c>
      <c r="F12" t="e" cm="1">
        <f t="array" ref="F12">ReplaceText(A12, 'REPLACES'!$A:$A,'REPLACES'!$B:$B, MAIL[[#This Row],[MCUERPO1]], "AGILICE")</f>
        <v>#VALUE!</v>
      </c>
      <c r="G12" t="s">
        <v>40</v>
      </c>
      <c r="H12">
        <f>_xlfn.XLOOKUP(MAIL[[#This Row],[IDMAIL]],Tabla1[IDMAIL],Tabla1[TANDA])</f>
        <v>1</v>
      </c>
    </row>
    <row r="13" spans="1:8" x14ac:dyDescent="0.35">
      <c r="A13">
        <v>28</v>
      </c>
      <c r="B13" t="s">
        <v>18</v>
      </c>
      <c r="C13" t="s">
        <v>1</v>
      </c>
      <c r="D13" t="s">
        <v>41</v>
      </c>
      <c r="E13" t="s">
        <v>433</v>
      </c>
      <c r="F13" t="e" cm="1">
        <f t="array" ref="F13">ReplaceText(A13, 'REPLACES'!$A:$A,'REPLACES'!$B:$B, MAIL[[#This Row],[MCUERPO1]], "AGILICE")</f>
        <v>#VALUE!</v>
      </c>
      <c r="G13" t="s">
        <v>43</v>
      </c>
      <c r="H13">
        <f>_xlfn.XLOOKUP(MAIL[[#This Row],[IDMAIL]],Tabla1[IDMAIL],Tabla1[TANDA])</f>
        <v>1</v>
      </c>
    </row>
    <row r="14" spans="1:8" x14ac:dyDescent="0.35">
      <c r="A14">
        <v>29</v>
      </c>
      <c r="B14" t="s">
        <v>18</v>
      </c>
      <c r="C14" t="s">
        <v>1</v>
      </c>
      <c r="D14" t="s">
        <v>44</v>
      </c>
      <c r="E14" t="s">
        <v>434</v>
      </c>
      <c r="F14" t="e" cm="1">
        <f t="array" ref="F14">ReplaceText(A14, 'REPLACES'!$A:$A,'REPLACES'!$B:$B, MAIL[[#This Row],[MCUERPO1]], "AGILICE")</f>
        <v>#VALUE!</v>
      </c>
      <c r="G14" t="s">
        <v>46</v>
      </c>
      <c r="H14">
        <f>_xlfn.XLOOKUP(MAIL[[#This Row],[IDMAIL]],Tabla1[IDMAIL],Tabla1[TANDA])</f>
        <v>1</v>
      </c>
    </row>
    <row r="15" spans="1:8" x14ac:dyDescent="0.35">
      <c r="A15">
        <v>30</v>
      </c>
      <c r="B15" t="s">
        <v>18</v>
      </c>
      <c r="C15" t="s">
        <v>1</v>
      </c>
      <c r="D15" t="s">
        <v>47</v>
      </c>
      <c r="E15" t="s">
        <v>435</v>
      </c>
      <c r="F15" t="e" cm="1">
        <f t="array" ref="F15">ReplaceText(A15, 'REPLACES'!$A:$A,'REPLACES'!$B:$B, MAIL[[#This Row],[MCUERPO1]], "AGILICE")</f>
        <v>#VALUE!</v>
      </c>
      <c r="G15" t="s">
        <v>49</v>
      </c>
      <c r="H15">
        <f>_xlfn.XLOOKUP(MAIL[[#This Row],[IDMAIL]],Tabla1[IDMAIL],Tabla1[TANDA])</f>
        <v>1</v>
      </c>
    </row>
    <row r="16" spans="1:8" x14ac:dyDescent="0.35">
      <c r="A16">
        <v>31</v>
      </c>
      <c r="B16" t="s">
        <v>18</v>
      </c>
      <c r="C16" t="s">
        <v>1</v>
      </c>
      <c r="D16" t="s">
        <v>50</v>
      </c>
      <c r="E16" t="s">
        <v>436</v>
      </c>
      <c r="F16" t="e" cm="1">
        <f t="array" ref="F16">ReplaceText(A16, 'REPLACES'!$A:$A,'REPLACES'!$B:$B, MAIL[[#This Row],[MCUERPO1]], "AGILICE")</f>
        <v>#VALUE!</v>
      </c>
      <c r="G16" t="s">
        <v>52</v>
      </c>
      <c r="H16">
        <f>_xlfn.XLOOKUP(MAIL[[#This Row],[IDMAIL]],Tabla1[IDMAIL],Tabla1[TANDA])</f>
        <v>1</v>
      </c>
    </row>
    <row r="17" spans="1:8" x14ac:dyDescent="0.35">
      <c r="A17">
        <v>32</v>
      </c>
      <c r="B17" t="s">
        <v>18</v>
      </c>
      <c r="C17" t="s">
        <v>1</v>
      </c>
      <c r="D17" t="s">
        <v>53</v>
      </c>
      <c r="E17" t="s">
        <v>54</v>
      </c>
      <c r="F17" t="e" cm="1">
        <f t="array" ref="F17">ReplaceText(A17, 'REPLACES'!$A:$A,'REPLACES'!$B:$B, MAIL[[#This Row],[MCUERPO1]], "AGILICE")</f>
        <v>#VALUE!</v>
      </c>
      <c r="G17" t="s">
        <v>55</v>
      </c>
      <c r="H17">
        <f>_xlfn.XLOOKUP(MAIL[[#This Row],[IDMAIL]],Tabla1[IDMAIL],Tabla1[TANDA])</f>
        <v>2</v>
      </c>
    </row>
    <row r="18" spans="1:8" x14ac:dyDescent="0.35">
      <c r="A18">
        <v>33</v>
      </c>
      <c r="B18" t="s">
        <v>18</v>
      </c>
      <c r="C18" t="s">
        <v>1</v>
      </c>
      <c r="D18" t="s">
        <v>56</v>
      </c>
      <c r="E18" t="s">
        <v>57</v>
      </c>
      <c r="F18" t="e" cm="1">
        <f t="array" ref="F18">ReplaceText(A18, 'REPLACES'!$A:$A,'REPLACES'!$B:$B, MAIL[[#This Row],[MCUERPO1]], "AGILICE")</f>
        <v>#VALUE!</v>
      </c>
      <c r="G18" t="s">
        <v>58</v>
      </c>
      <c r="H18">
        <f>_xlfn.XLOOKUP(MAIL[[#This Row],[IDMAIL]],Tabla1[IDMAIL],Tabla1[TANDA])</f>
        <v>2</v>
      </c>
    </row>
    <row r="19" spans="1:8" x14ac:dyDescent="0.35">
      <c r="A19">
        <v>117</v>
      </c>
      <c r="B19" t="s">
        <v>18</v>
      </c>
      <c r="C19" t="s">
        <v>1</v>
      </c>
      <c r="D19" t="s">
        <v>59</v>
      </c>
      <c r="E19" t="s">
        <v>60</v>
      </c>
      <c r="F19" t="e" cm="1">
        <f t="array" ref="F19">ReplaceText(A19, 'REPLACES'!$A:$A,'REPLACES'!$B:$B, MAIL[[#This Row],[MCUERPO1]], "AGILICE")</f>
        <v>#VALUE!</v>
      </c>
      <c r="G19" t="s">
        <v>61</v>
      </c>
      <c r="H19">
        <f>_xlfn.XLOOKUP(MAIL[[#This Row],[IDMAIL]],Tabla1[IDMAIL],Tabla1[TANDA])</f>
        <v>2</v>
      </c>
    </row>
    <row r="20" spans="1:8" x14ac:dyDescent="0.35">
      <c r="A20">
        <v>6503</v>
      </c>
      <c r="B20" t="s">
        <v>18</v>
      </c>
      <c r="C20" t="s">
        <v>1</v>
      </c>
      <c r="D20" t="s">
        <v>62</v>
      </c>
      <c r="E20" t="s">
        <v>63</v>
      </c>
      <c r="F20" t="e" cm="1">
        <f t="array" ref="F20">ReplaceText(A20, 'REPLACES'!$A:$A,'REPLACES'!$B:$B, MAIL[[#This Row],[MCUERPO1]], "AGILICE")</f>
        <v>#VALUE!</v>
      </c>
      <c r="G20" t="s">
        <v>64</v>
      </c>
      <c r="H20">
        <f>_xlfn.XLOOKUP(MAIL[[#This Row],[IDMAIL]],Tabla1[IDMAIL],Tabla1[TANDA])</f>
        <v>2</v>
      </c>
    </row>
    <row r="21" spans="1:8" x14ac:dyDescent="0.35">
      <c r="A21">
        <v>6504</v>
      </c>
      <c r="B21" t="s">
        <v>18</v>
      </c>
      <c r="C21" t="s">
        <v>1</v>
      </c>
      <c r="D21" t="s">
        <v>65</v>
      </c>
      <c r="E21" t="s">
        <v>66</v>
      </c>
      <c r="F21" t="e" cm="1">
        <f t="array" ref="F21">ReplaceText(A21, 'REPLACES'!$A:$A,'REPLACES'!$B:$B, MAIL[[#This Row],[MCUERPO1]], "AGILICE")</f>
        <v>#VALUE!</v>
      </c>
      <c r="G21" t="s">
        <v>67</v>
      </c>
      <c r="H21">
        <f>_xlfn.XLOOKUP(MAIL[[#This Row],[IDMAIL]],Tabla1[IDMAIL],Tabla1[TANDA])</f>
        <v>2</v>
      </c>
    </row>
    <row r="22" spans="1:8" x14ac:dyDescent="0.35">
      <c r="A22">
        <v>122</v>
      </c>
      <c r="B22" t="s">
        <v>0</v>
      </c>
      <c r="C22" t="s">
        <v>1</v>
      </c>
      <c r="D22" t="s">
        <v>68</v>
      </c>
      <c r="E22" t="s">
        <v>437</v>
      </c>
      <c r="F22" t="e" cm="1">
        <f t="array" ref="F22">ReplaceText(A22, 'REPLACES'!$A:$A,'REPLACES'!$B:$B, MAIL[[#This Row],[MCUERPO1]], "AGILICE")</f>
        <v>#VALUE!</v>
      </c>
      <c r="G22" t="s">
        <v>68</v>
      </c>
      <c r="H22">
        <f>_xlfn.XLOOKUP(MAIL[[#This Row],[IDMAIL]],Tabla1[IDMAIL],Tabla1[TANDA])</f>
        <v>2</v>
      </c>
    </row>
    <row r="23" spans="1:8" x14ac:dyDescent="0.35">
      <c r="A23">
        <v>160</v>
      </c>
      <c r="B23" t="s">
        <v>0</v>
      </c>
      <c r="C23" t="s">
        <v>1</v>
      </c>
      <c r="D23" t="s">
        <v>70</v>
      </c>
      <c r="E23" t="s">
        <v>438</v>
      </c>
      <c r="F23" t="e" cm="1">
        <f t="array" ref="F23">ReplaceText(A23, 'REPLACES'!$A:$A,'REPLACES'!$B:$B, MAIL[[#This Row],[MCUERPO1]], "AGILICE")</f>
        <v>#VALUE!</v>
      </c>
      <c r="G23" t="s">
        <v>25</v>
      </c>
      <c r="H23">
        <f>_xlfn.XLOOKUP(MAIL[[#This Row],[IDMAIL]],Tabla1[IDMAIL],Tabla1[TANDA])</f>
        <v>2</v>
      </c>
    </row>
    <row r="24" spans="1:8" x14ac:dyDescent="0.35">
      <c r="A24">
        <v>6505</v>
      </c>
      <c r="B24" t="s">
        <v>0</v>
      </c>
      <c r="C24" t="s">
        <v>1</v>
      </c>
      <c r="D24" t="s">
        <v>72</v>
      </c>
      <c r="E24" t="s">
        <v>73</v>
      </c>
      <c r="F24" t="e" cm="1">
        <f t="array" ref="F24">ReplaceText(A24, 'REPLACES'!$A:$A,'REPLACES'!$B:$B, MAIL[[#This Row],[MCUERPO1]], "AGILICE")</f>
        <v>#VALUE!</v>
      </c>
      <c r="G24" t="s">
        <v>74</v>
      </c>
      <c r="H24">
        <f>_xlfn.XLOOKUP(MAIL[[#This Row],[IDMAIL]],Tabla1[IDMAIL],Tabla1[TANDA])</f>
        <v>2</v>
      </c>
    </row>
    <row r="25" spans="1:8" x14ac:dyDescent="0.35">
      <c r="A25">
        <v>6506</v>
      </c>
      <c r="B25" t="s">
        <v>0</v>
      </c>
      <c r="C25" t="s">
        <v>1</v>
      </c>
      <c r="D25" t="s">
        <v>75</v>
      </c>
      <c r="E25" t="s">
        <v>76</v>
      </c>
      <c r="F25" t="e" cm="1">
        <f t="array" ref="F25">ReplaceText(A25, 'REPLACES'!$A:$A,'REPLACES'!$B:$B, MAIL[[#This Row],[MCUERPO1]], "AGILICE")</f>
        <v>#VALUE!</v>
      </c>
      <c r="G25" t="s">
        <v>77</v>
      </c>
      <c r="H25">
        <f>_xlfn.XLOOKUP(MAIL[[#This Row],[IDMAIL]],Tabla1[IDMAIL],Tabla1[TANDA])</f>
        <v>2</v>
      </c>
    </row>
    <row r="26" spans="1:8" x14ac:dyDescent="0.35">
      <c r="A26">
        <v>6509</v>
      </c>
      <c r="B26" t="s">
        <v>0</v>
      </c>
      <c r="C26" t="s">
        <v>1</v>
      </c>
      <c r="D26" t="s">
        <v>78</v>
      </c>
      <c r="E26" t="s">
        <v>439</v>
      </c>
      <c r="F26" t="e" cm="1">
        <f t="array" ref="F26">ReplaceText(A26, 'REPLACES'!$A:$A,'REPLACES'!$B:$B, MAIL[[#This Row],[MCUERPO1]], "AGILICE")</f>
        <v>#VALUE!</v>
      </c>
      <c r="G26" t="s">
        <v>80</v>
      </c>
      <c r="H26">
        <f>_xlfn.XLOOKUP(MAIL[[#This Row],[IDMAIL]],Tabla1[IDMAIL],Tabla1[TANDA])</f>
        <v>2</v>
      </c>
    </row>
    <row r="27" spans="1:8" x14ac:dyDescent="0.35">
      <c r="A27">
        <v>131</v>
      </c>
      <c r="B27" t="s">
        <v>0</v>
      </c>
      <c r="C27" t="s">
        <v>1</v>
      </c>
      <c r="D27" t="s">
        <v>81</v>
      </c>
      <c r="E27" t="s">
        <v>448</v>
      </c>
      <c r="F27" t="e" cm="1">
        <f t="array" ref="F27">ReplaceText(A27, 'REPLACES'!$A:$A,'REPLACES'!$B:$B, MAIL[[#This Row],[MCUERPO1]], "AGILICE")</f>
        <v>#VALUE!</v>
      </c>
      <c r="G27" t="s">
        <v>83</v>
      </c>
      <c r="H27">
        <f>_xlfn.XLOOKUP(MAIL[[#This Row],[IDMAIL]],Tabla1[IDMAIL],Tabla1[TANDA])</f>
        <v>2</v>
      </c>
    </row>
    <row r="28" spans="1:8" x14ac:dyDescent="0.35">
      <c r="A28">
        <v>140</v>
      </c>
      <c r="B28" t="s">
        <v>84</v>
      </c>
      <c r="C28" t="s">
        <v>1</v>
      </c>
      <c r="D28" t="s">
        <v>84</v>
      </c>
      <c r="E28" t="s">
        <v>85</v>
      </c>
      <c r="F28" t="e" cm="1">
        <f t="array" ref="F28">ReplaceText(A28, 'REPLACES'!$A:$A,'REPLACES'!$B:$B, MAIL[[#This Row],[MCUERPO1]], "AGILICE")</f>
        <v>#VALUE!</v>
      </c>
      <c r="G28" t="s">
        <v>86</v>
      </c>
      <c r="H28">
        <f>_xlfn.XLOOKUP(MAIL[[#This Row],[IDMAIL]],Tabla1[IDMAIL],Tabla1[TANDA])</f>
        <v>2</v>
      </c>
    </row>
    <row r="29" spans="1:8" x14ac:dyDescent="0.35">
      <c r="A29">
        <v>141</v>
      </c>
      <c r="B29" t="s">
        <v>87</v>
      </c>
      <c r="C29" t="s">
        <v>1</v>
      </c>
      <c r="D29" t="s">
        <v>87</v>
      </c>
      <c r="E29" t="s">
        <v>88</v>
      </c>
      <c r="F29" t="e" cm="1">
        <f t="array" ref="F29">ReplaceText(A29, 'REPLACES'!$A:$A,'REPLACES'!$B:$B, MAIL[[#This Row],[MCUERPO1]], "AGILICE")</f>
        <v>#VALUE!</v>
      </c>
      <c r="G29" t="s">
        <v>89</v>
      </c>
      <c r="H29">
        <f>_xlfn.XLOOKUP(MAIL[[#This Row],[IDMAIL]],Tabla1[IDMAIL],Tabla1[TANDA])</f>
        <v>2</v>
      </c>
    </row>
    <row r="30" spans="1:8" x14ac:dyDescent="0.35">
      <c r="A30">
        <v>142</v>
      </c>
      <c r="B30" t="s">
        <v>90</v>
      </c>
      <c r="C30" t="s">
        <v>1</v>
      </c>
      <c r="D30" t="s">
        <v>90</v>
      </c>
      <c r="E30" t="s">
        <v>91</v>
      </c>
      <c r="F30" t="e" cm="1">
        <f t="array" ref="F30">ReplaceText(A30, 'REPLACES'!$A:$A,'REPLACES'!$B:$B, MAIL[[#This Row],[MCUERPO1]], "AGILICE")</f>
        <v>#VALUE!</v>
      </c>
      <c r="G30" t="s">
        <v>92</v>
      </c>
      <c r="H30">
        <f>_xlfn.XLOOKUP(MAIL[[#This Row],[IDMAIL]],Tabla1[IDMAIL],Tabla1[TANDA])</f>
        <v>2</v>
      </c>
    </row>
    <row r="31" spans="1:8" x14ac:dyDescent="0.35">
      <c r="A31">
        <v>18</v>
      </c>
      <c r="B31" t="s">
        <v>18</v>
      </c>
      <c r="C31" t="s">
        <v>1</v>
      </c>
      <c r="D31" t="s">
        <v>65</v>
      </c>
      <c r="E31" t="s">
        <v>449</v>
      </c>
      <c r="F31" t="e" cm="1">
        <f t="array" ref="F31">ReplaceText(A31, 'REPLACES'!$A:$A,'REPLACES'!$B:$B, MAIL[[#This Row],[MCUERPO1]], "AGILICE")</f>
        <v>#VALUE!</v>
      </c>
      <c r="G31" t="s">
        <v>94</v>
      </c>
      <c r="H31">
        <f>_xlfn.XLOOKUP(MAIL[[#This Row],[IDMAIL]],Tabla1[IDMAIL],Tabla1[TANDA])</f>
        <v>3</v>
      </c>
    </row>
    <row r="32" spans="1:8" x14ac:dyDescent="0.35">
      <c r="A32">
        <v>26</v>
      </c>
      <c r="B32" t="s">
        <v>18</v>
      </c>
      <c r="C32" t="s">
        <v>1</v>
      </c>
      <c r="D32" t="s">
        <v>95</v>
      </c>
      <c r="E32" t="s">
        <v>96</v>
      </c>
      <c r="F32" t="e" cm="1">
        <f t="array" ref="F32">ReplaceText(A32, 'REPLACES'!$A:$A,'REPLACES'!$B:$B, MAIL[[#This Row],[MCUERPO1]], "AGILICE")</f>
        <v>#VALUE!</v>
      </c>
      <c r="G32" t="s">
        <v>97</v>
      </c>
      <c r="H32">
        <f>_xlfn.XLOOKUP(MAIL[[#This Row],[IDMAIL]],Tabla1[IDMAIL],Tabla1[TANDA])</f>
        <v>3</v>
      </c>
    </row>
    <row r="33" spans="1:8" x14ac:dyDescent="0.35">
      <c r="A33">
        <v>34</v>
      </c>
      <c r="B33" t="s">
        <v>18</v>
      </c>
      <c r="C33" t="s">
        <v>1</v>
      </c>
      <c r="D33" t="s">
        <v>98</v>
      </c>
      <c r="E33" t="s">
        <v>99</v>
      </c>
      <c r="F33" t="e" cm="1">
        <f t="array" ref="F33">ReplaceText(A33, 'REPLACES'!$A:$A,'REPLACES'!$B:$B, MAIL[[#This Row],[MCUERPO1]], "AGILICE")</f>
        <v>#VALUE!</v>
      </c>
      <c r="G33" t="s">
        <v>100</v>
      </c>
      <c r="H33">
        <f>_xlfn.XLOOKUP(MAIL[[#This Row],[IDMAIL]],Tabla1[IDMAIL],Tabla1[TANDA])</f>
        <v>3</v>
      </c>
    </row>
    <row r="34" spans="1:8" x14ac:dyDescent="0.35">
      <c r="A34">
        <v>35</v>
      </c>
      <c r="B34" t="s">
        <v>18</v>
      </c>
      <c r="C34" t="s">
        <v>1</v>
      </c>
      <c r="D34" t="s">
        <v>101</v>
      </c>
      <c r="E34" t="s">
        <v>102</v>
      </c>
      <c r="F34" t="e" cm="1">
        <f t="array" ref="F34">ReplaceText(A34, 'REPLACES'!$A:$A,'REPLACES'!$B:$B, MAIL[[#This Row],[MCUERPO1]], "AGILICE")</f>
        <v>#VALUE!</v>
      </c>
      <c r="G34" t="s">
        <v>103</v>
      </c>
      <c r="H34">
        <f>_xlfn.XLOOKUP(MAIL[[#This Row],[IDMAIL]],Tabla1[IDMAIL],Tabla1[TANDA])</f>
        <v>3</v>
      </c>
    </row>
    <row r="35" spans="1:8" x14ac:dyDescent="0.35">
      <c r="A35">
        <v>36</v>
      </c>
      <c r="B35" t="s">
        <v>18</v>
      </c>
      <c r="C35" t="s">
        <v>1</v>
      </c>
      <c r="D35" t="s">
        <v>104</v>
      </c>
      <c r="E35" t="s">
        <v>105</v>
      </c>
      <c r="F35" t="e" cm="1">
        <f t="array" ref="F35">ReplaceText(A35, 'REPLACES'!$A:$A,'REPLACES'!$B:$B, MAIL[[#This Row],[MCUERPO1]], "AGILICE")</f>
        <v>#VALUE!</v>
      </c>
      <c r="G35" t="s">
        <v>106</v>
      </c>
      <c r="H35">
        <f>_xlfn.XLOOKUP(MAIL[[#This Row],[IDMAIL]],Tabla1[IDMAIL],Tabla1[TANDA])</f>
        <v>3</v>
      </c>
    </row>
    <row r="36" spans="1:8" x14ac:dyDescent="0.35">
      <c r="A36">
        <v>37</v>
      </c>
      <c r="B36" t="s">
        <v>18</v>
      </c>
      <c r="C36" t="s">
        <v>1</v>
      </c>
      <c r="D36" t="s">
        <v>107</v>
      </c>
      <c r="E36" t="s">
        <v>108</v>
      </c>
      <c r="F36" t="e" cm="1">
        <f t="array" ref="F36">ReplaceText(A36, 'REPLACES'!$A:$A,'REPLACES'!$B:$B, MAIL[[#This Row],[MCUERPO1]], "AGILICE")</f>
        <v>#VALUE!</v>
      </c>
      <c r="G36" t="s">
        <v>109</v>
      </c>
      <c r="H36">
        <f>_xlfn.XLOOKUP(MAIL[[#This Row],[IDMAIL]],Tabla1[IDMAIL],Tabla1[TANDA])</f>
        <v>3</v>
      </c>
    </row>
    <row r="37" spans="1:8" x14ac:dyDescent="0.35">
      <c r="A37">
        <v>40</v>
      </c>
      <c r="B37" t="s">
        <v>18</v>
      </c>
      <c r="C37" t="s">
        <v>1</v>
      </c>
      <c r="D37" t="s">
        <v>110</v>
      </c>
      <c r="E37" t="s">
        <v>111</v>
      </c>
      <c r="F37" t="e" cm="1">
        <f t="array" ref="F37">ReplaceText(A37, 'REPLACES'!$A:$A,'REPLACES'!$B:$B, MAIL[[#This Row],[MCUERPO1]], "AGILICE")</f>
        <v>#VALUE!</v>
      </c>
      <c r="G37" t="s">
        <v>112</v>
      </c>
      <c r="H37">
        <f>_xlfn.XLOOKUP(MAIL[[#This Row],[IDMAIL]],Tabla1[IDMAIL],Tabla1[TANDA])</f>
        <v>3</v>
      </c>
    </row>
    <row r="38" spans="1:8" x14ac:dyDescent="0.35">
      <c r="A38">
        <v>41</v>
      </c>
      <c r="B38" t="s">
        <v>18</v>
      </c>
      <c r="C38" t="s">
        <v>1</v>
      </c>
      <c r="D38" t="s">
        <v>113</v>
      </c>
      <c r="E38" t="s">
        <v>114</v>
      </c>
      <c r="F38" t="e" cm="1">
        <f t="array" ref="F38">ReplaceText(A38, 'REPLACES'!$A:$A,'REPLACES'!$B:$B, MAIL[[#This Row],[MCUERPO1]], "AGILICE")</f>
        <v>#VALUE!</v>
      </c>
      <c r="G38" t="s">
        <v>115</v>
      </c>
      <c r="H38">
        <f>_xlfn.XLOOKUP(MAIL[[#This Row],[IDMAIL]],Tabla1[IDMAIL],Tabla1[TANDA])</f>
        <v>3</v>
      </c>
    </row>
    <row r="39" spans="1:8" x14ac:dyDescent="0.35">
      <c r="A39">
        <v>42</v>
      </c>
      <c r="B39" t="s">
        <v>18</v>
      </c>
      <c r="C39" t="s">
        <v>1</v>
      </c>
      <c r="D39" t="s">
        <v>116</v>
      </c>
      <c r="E39" t="s">
        <v>117</v>
      </c>
      <c r="F39" t="e" cm="1">
        <f t="array" ref="F39">ReplaceText(A39, 'REPLACES'!$A:$A,'REPLACES'!$B:$B, MAIL[[#This Row],[MCUERPO1]], "AGILICE")</f>
        <v>#VALUE!</v>
      </c>
      <c r="G39" t="s">
        <v>118</v>
      </c>
      <c r="H39">
        <f>_xlfn.XLOOKUP(MAIL[[#This Row],[IDMAIL]],Tabla1[IDMAIL],Tabla1[TANDA])</f>
        <v>3</v>
      </c>
    </row>
    <row r="40" spans="1:8" x14ac:dyDescent="0.35">
      <c r="A40">
        <v>43</v>
      </c>
      <c r="B40" t="s">
        <v>18</v>
      </c>
      <c r="C40" t="s">
        <v>1</v>
      </c>
      <c r="D40" t="s">
        <v>119</v>
      </c>
      <c r="E40" t="s">
        <v>120</v>
      </c>
      <c r="F40" t="e" cm="1">
        <f t="array" ref="F40">ReplaceText(A40, 'REPLACES'!$A:$A,'REPLACES'!$B:$B, MAIL[[#This Row],[MCUERPO1]], "AGILICE")</f>
        <v>#VALUE!</v>
      </c>
      <c r="G40" t="s">
        <v>121</v>
      </c>
      <c r="H40">
        <f>_xlfn.XLOOKUP(MAIL[[#This Row],[IDMAIL]],Tabla1[IDMAIL],Tabla1[TANDA])</f>
        <v>3</v>
      </c>
    </row>
    <row r="41" spans="1:8" x14ac:dyDescent="0.35">
      <c r="A41">
        <v>44</v>
      </c>
      <c r="B41" t="s">
        <v>18</v>
      </c>
      <c r="C41" t="s">
        <v>1</v>
      </c>
      <c r="D41" t="s">
        <v>122</v>
      </c>
      <c r="E41" t="s">
        <v>123</v>
      </c>
      <c r="F41" t="e" cm="1">
        <f t="array" ref="F41">ReplaceText(A41, 'REPLACES'!$A:$A,'REPLACES'!$B:$B, MAIL[[#This Row],[MCUERPO1]], "AGILICE")</f>
        <v>#VALUE!</v>
      </c>
      <c r="G41" t="s">
        <v>124</v>
      </c>
      <c r="H41">
        <f>_xlfn.XLOOKUP(MAIL[[#This Row],[IDMAIL]],Tabla1[IDMAIL],Tabla1[TANDA])</f>
        <v>3</v>
      </c>
    </row>
    <row r="42" spans="1:8" x14ac:dyDescent="0.35">
      <c r="A42">
        <v>45</v>
      </c>
      <c r="B42" t="s">
        <v>18</v>
      </c>
      <c r="C42" t="s">
        <v>1</v>
      </c>
      <c r="D42" t="s">
        <v>125</v>
      </c>
      <c r="E42" t="s">
        <v>126</v>
      </c>
      <c r="F42" t="e" cm="1">
        <f t="array" ref="F42">ReplaceText(A42, 'REPLACES'!$A:$A,'REPLACES'!$B:$B, MAIL[[#This Row],[MCUERPO1]], "AGILICE")</f>
        <v>#VALUE!</v>
      </c>
      <c r="G42" t="s">
        <v>127</v>
      </c>
      <c r="H42">
        <f>_xlfn.XLOOKUP(MAIL[[#This Row],[IDMAIL]],Tabla1[IDMAIL],Tabla1[TANDA])</f>
        <v>3</v>
      </c>
    </row>
    <row r="43" spans="1:8" x14ac:dyDescent="0.35">
      <c r="A43">
        <v>47</v>
      </c>
      <c r="B43" t="s">
        <v>18</v>
      </c>
      <c r="C43" t="s">
        <v>1</v>
      </c>
      <c r="D43" t="s">
        <v>128</v>
      </c>
      <c r="E43" t="s">
        <v>129</v>
      </c>
      <c r="F43" t="e" cm="1">
        <f t="array" ref="F43">ReplaceText(A43, 'REPLACES'!$A:$A,'REPLACES'!$B:$B, MAIL[[#This Row],[MCUERPO1]], "AGILICE")</f>
        <v>#VALUE!</v>
      </c>
      <c r="G43" t="s">
        <v>130</v>
      </c>
      <c r="H43">
        <f>_xlfn.XLOOKUP(MAIL[[#This Row],[IDMAIL]],Tabla1[IDMAIL],Tabla1[TANDA])</f>
        <v>3</v>
      </c>
    </row>
    <row r="44" spans="1:8" x14ac:dyDescent="0.35">
      <c r="A44">
        <v>48</v>
      </c>
      <c r="B44" t="s">
        <v>18</v>
      </c>
      <c r="C44" t="s">
        <v>1</v>
      </c>
      <c r="D44" t="s">
        <v>131</v>
      </c>
      <c r="E44" t="s">
        <v>132</v>
      </c>
      <c r="F44" t="e" cm="1">
        <f t="array" ref="F44">ReplaceText(A44, 'REPLACES'!$A:$A,'REPLACES'!$B:$B, MAIL[[#This Row],[MCUERPO1]], "AGILICE")</f>
        <v>#VALUE!</v>
      </c>
      <c r="G44" t="s">
        <v>133</v>
      </c>
      <c r="H44">
        <f>_xlfn.XLOOKUP(MAIL[[#This Row],[IDMAIL]],Tabla1[IDMAIL],Tabla1[TANDA])</f>
        <v>3</v>
      </c>
    </row>
    <row r="45" spans="1:8" x14ac:dyDescent="0.35">
      <c r="A45">
        <v>49</v>
      </c>
      <c r="B45" t="s">
        <v>18</v>
      </c>
      <c r="C45" t="s">
        <v>1</v>
      </c>
      <c r="D45" t="s">
        <v>134</v>
      </c>
      <c r="E45" t="s">
        <v>135</v>
      </c>
      <c r="F45" t="e" cm="1">
        <f t="array" ref="F45">ReplaceText(A45, 'REPLACES'!$A:$A,'REPLACES'!$B:$B, MAIL[[#This Row],[MCUERPO1]], "AGILICE")</f>
        <v>#VALUE!</v>
      </c>
      <c r="G45" t="s">
        <v>136</v>
      </c>
      <c r="H45">
        <f>_xlfn.XLOOKUP(MAIL[[#This Row],[IDMAIL]],Tabla1[IDMAIL],Tabla1[TANDA])</f>
        <v>3</v>
      </c>
    </row>
    <row r="46" spans="1:8" x14ac:dyDescent="0.35">
      <c r="A46">
        <v>50</v>
      </c>
      <c r="B46" t="s">
        <v>18</v>
      </c>
      <c r="C46" t="s">
        <v>1</v>
      </c>
      <c r="D46" t="s">
        <v>137</v>
      </c>
      <c r="E46" t="s">
        <v>138</v>
      </c>
      <c r="F46" t="e" cm="1">
        <f t="array" ref="F46">ReplaceText(A46, 'REPLACES'!$A:$A,'REPLACES'!$B:$B, MAIL[[#This Row],[MCUERPO1]], "AGILICE")</f>
        <v>#VALUE!</v>
      </c>
      <c r="G46" t="s">
        <v>139</v>
      </c>
      <c r="H46">
        <f>_xlfn.XLOOKUP(MAIL[[#This Row],[IDMAIL]],Tabla1[IDMAIL],Tabla1[TANDA])</f>
        <v>4</v>
      </c>
    </row>
    <row r="47" spans="1:8" x14ac:dyDescent="0.35">
      <c r="A47">
        <v>51</v>
      </c>
      <c r="B47" t="s">
        <v>0</v>
      </c>
      <c r="C47" t="s">
        <v>1</v>
      </c>
      <c r="D47" t="s">
        <v>140</v>
      </c>
      <c r="E47" t="s">
        <v>141</v>
      </c>
      <c r="F47" t="e" cm="1">
        <f t="array" ref="F47">ReplaceText(A47, 'REPLACES'!$A:$A,'REPLACES'!$B:$B, MAIL[[#This Row],[MCUERPO1]], "AGILICE")</f>
        <v>#VALUE!</v>
      </c>
      <c r="G47" t="s">
        <v>140</v>
      </c>
      <c r="H47">
        <f>_xlfn.XLOOKUP(MAIL[[#This Row],[IDMAIL]],Tabla1[IDMAIL],Tabla1[TANDA])</f>
        <v>4</v>
      </c>
    </row>
    <row r="48" spans="1:8" x14ac:dyDescent="0.35">
      <c r="A48">
        <v>78</v>
      </c>
      <c r="B48" t="s">
        <v>18</v>
      </c>
      <c r="C48" t="s">
        <v>1</v>
      </c>
      <c r="D48" t="s">
        <v>142</v>
      </c>
      <c r="E48" t="s">
        <v>143</v>
      </c>
      <c r="F48" t="e" cm="1">
        <f t="array" ref="F48">ReplaceText(A48, 'REPLACES'!$A:$A,'REPLACES'!$B:$B, MAIL[[#This Row],[MCUERPO1]], "AGILICE")</f>
        <v>#VALUE!</v>
      </c>
      <c r="G48" t="s">
        <v>144</v>
      </c>
      <c r="H48">
        <f>_xlfn.XLOOKUP(MAIL[[#This Row],[IDMAIL]],Tabla1[IDMAIL],Tabla1[TANDA])</f>
        <v>4</v>
      </c>
    </row>
    <row r="49" spans="1:8" x14ac:dyDescent="0.35">
      <c r="A49">
        <v>92</v>
      </c>
      <c r="B49" t="s">
        <v>18</v>
      </c>
      <c r="C49" t="s">
        <v>1</v>
      </c>
      <c r="D49" t="s">
        <v>145</v>
      </c>
      <c r="E49" t="s">
        <v>146</v>
      </c>
      <c r="F49" t="e" cm="1">
        <f t="array" ref="F49">ReplaceText(A49, 'REPLACES'!$A:$A,'REPLACES'!$B:$B, MAIL[[#This Row],[MCUERPO1]], "AGILICE")</f>
        <v>#VALUE!</v>
      </c>
      <c r="G49" t="s">
        <v>147</v>
      </c>
      <c r="H49">
        <f>_xlfn.XLOOKUP(MAIL[[#This Row],[IDMAIL]],Tabla1[IDMAIL],Tabla1[TANDA])</f>
        <v>4</v>
      </c>
    </row>
    <row r="50" spans="1:8" x14ac:dyDescent="0.35">
      <c r="A50">
        <v>52</v>
      </c>
      <c r="B50" t="s">
        <v>18</v>
      </c>
      <c r="C50" t="s">
        <v>1</v>
      </c>
      <c r="D50" t="s">
        <v>148</v>
      </c>
      <c r="E50" t="s">
        <v>149</v>
      </c>
      <c r="F50" t="e" cm="1">
        <f t="array" ref="F50">ReplaceText(A50, 'REPLACES'!$A:$A,'REPLACES'!$B:$B, MAIL[[#This Row],[MCUERPO1]], "AGILICE")</f>
        <v>#VALUE!</v>
      </c>
      <c r="G50" t="s">
        <v>150</v>
      </c>
      <c r="H50">
        <f>_xlfn.XLOOKUP(MAIL[[#This Row],[IDMAIL]],Tabla1[IDMAIL],Tabla1[TANDA])</f>
        <v>4</v>
      </c>
    </row>
    <row r="51" spans="1:8" x14ac:dyDescent="0.35">
      <c r="A51">
        <v>60</v>
      </c>
      <c r="B51" t="s">
        <v>18</v>
      </c>
      <c r="C51" t="s">
        <v>1</v>
      </c>
      <c r="D51" t="s">
        <v>151</v>
      </c>
      <c r="E51" t="s">
        <v>450</v>
      </c>
      <c r="F51" t="e" cm="1">
        <f t="array" ref="F51">ReplaceText(A51, 'REPLACES'!$A:$A,'REPLACES'!$B:$B, MAIL[[#This Row],[MCUERPO1]], "AGILICE")</f>
        <v>#VALUE!</v>
      </c>
      <c r="G51" t="s">
        <v>153</v>
      </c>
      <c r="H51">
        <f>_xlfn.XLOOKUP(MAIL[[#This Row],[IDMAIL]],Tabla1[IDMAIL],Tabla1[TANDA])</f>
        <v>4</v>
      </c>
    </row>
    <row r="52" spans="1:8" x14ac:dyDescent="0.35">
      <c r="A52">
        <v>65</v>
      </c>
      <c r="B52" t="s">
        <v>18</v>
      </c>
      <c r="C52" t="s">
        <v>1</v>
      </c>
      <c r="D52" t="s">
        <v>154</v>
      </c>
      <c r="E52" t="s">
        <v>155</v>
      </c>
      <c r="F52" t="e" cm="1">
        <f t="array" ref="F52">ReplaceText(A52, 'REPLACES'!$A:$A,'REPLACES'!$B:$B, MAIL[[#This Row],[MCUERPO1]], "AGILICE")</f>
        <v>#VALUE!</v>
      </c>
      <c r="G52" t="s">
        <v>156</v>
      </c>
      <c r="H52">
        <f>_xlfn.XLOOKUP(MAIL[[#This Row],[IDMAIL]],Tabla1[IDMAIL],Tabla1[TANDA])</f>
        <v>4</v>
      </c>
    </row>
    <row r="53" spans="1:8" x14ac:dyDescent="0.35">
      <c r="A53">
        <v>66</v>
      </c>
      <c r="B53" t="s">
        <v>18</v>
      </c>
      <c r="C53" t="s">
        <v>1</v>
      </c>
      <c r="D53" t="s">
        <v>157</v>
      </c>
      <c r="E53" t="s">
        <v>158</v>
      </c>
      <c r="F53" t="e" cm="1">
        <f t="array" ref="F53">ReplaceText(A53, 'REPLACES'!$A:$A,'REPLACES'!$B:$B, MAIL[[#This Row],[MCUERPO1]], "AGILICE")</f>
        <v>#VALUE!</v>
      </c>
      <c r="G53" t="s">
        <v>159</v>
      </c>
      <c r="H53">
        <f>_xlfn.XLOOKUP(MAIL[[#This Row],[IDMAIL]],Tabla1[IDMAIL],Tabla1[TANDA])</f>
        <v>4</v>
      </c>
    </row>
    <row r="54" spans="1:8" x14ac:dyDescent="0.35">
      <c r="A54">
        <v>67</v>
      </c>
      <c r="B54" t="s">
        <v>18</v>
      </c>
      <c r="C54" t="s">
        <v>1</v>
      </c>
      <c r="D54" t="s">
        <v>160</v>
      </c>
      <c r="E54" t="s">
        <v>161</v>
      </c>
      <c r="F54" t="e" cm="1">
        <f t="array" ref="F54">ReplaceText(A54, 'REPLACES'!$A:$A,'REPLACES'!$B:$B, MAIL[[#This Row],[MCUERPO1]], "AGILICE")</f>
        <v>#VALUE!</v>
      </c>
      <c r="G54" t="s">
        <v>162</v>
      </c>
      <c r="H54">
        <f>_xlfn.XLOOKUP(MAIL[[#This Row],[IDMAIL]],Tabla1[IDMAIL],Tabla1[TANDA])</f>
        <v>4</v>
      </c>
    </row>
    <row r="55" spans="1:8" x14ac:dyDescent="0.35">
      <c r="A55">
        <v>61</v>
      </c>
      <c r="B55" t="s">
        <v>18</v>
      </c>
      <c r="C55" t="s">
        <v>1</v>
      </c>
      <c r="D55" t="s">
        <v>163</v>
      </c>
      <c r="E55" t="s">
        <v>164</v>
      </c>
      <c r="F55" t="e" cm="1">
        <f t="array" ref="F55">ReplaceText(A55, 'REPLACES'!$A:$A,'REPLACES'!$B:$B, MAIL[[#This Row],[MCUERPO1]], "AGILICE")</f>
        <v>#VALUE!</v>
      </c>
      <c r="G55" t="s">
        <v>165</v>
      </c>
      <c r="H55">
        <f>_xlfn.XLOOKUP(MAIL[[#This Row],[IDMAIL]],Tabla1[IDMAIL],Tabla1[TANDA])</f>
        <v>4</v>
      </c>
    </row>
    <row r="56" spans="1:8" x14ac:dyDescent="0.35">
      <c r="A56">
        <v>62</v>
      </c>
      <c r="B56" t="s">
        <v>18</v>
      </c>
      <c r="C56" t="s">
        <v>1</v>
      </c>
      <c r="D56" t="s">
        <v>166</v>
      </c>
      <c r="E56" t="s">
        <v>167</v>
      </c>
      <c r="F56" t="e" cm="1">
        <f t="array" ref="F56">ReplaceText(A56, 'REPLACES'!$A:$A,'REPLACES'!$B:$B, MAIL[[#This Row],[MCUERPO1]], "AGILICE")</f>
        <v>#VALUE!</v>
      </c>
      <c r="G56" t="s">
        <v>168</v>
      </c>
      <c r="H56">
        <f>_xlfn.XLOOKUP(MAIL[[#This Row],[IDMAIL]],Tabla1[IDMAIL],Tabla1[TANDA])</f>
        <v>4</v>
      </c>
    </row>
    <row r="57" spans="1:8" x14ac:dyDescent="0.35">
      <c r="A57">
        <v>63</v>
      </c>
      <c r="B57" t="s">
        <v>18</v>
      </c>
      <c r="C57" t="s">
        <v>1</v>
      </c>
      <c r="D57" t="s">
        <v>169</v>
      </c>
      <c r="E57" t="s">
        <v>170</v>
      </c>
      <c r="F57" t="e" cm="1">
        <f t="array" ref="F57">ReplaceText(A57, 'REPLACES'!$A:$A,'REPLACES'!$B:$B, MAIL[[#This Row],[MCUERPO1]], "AGILICE")</f>
        <v>#VALUE!</v>
      </c>
      <c r="G57" t="s">
        <v>171</v>
      </c>
      <c r="H57">
        <f>_xlfn.XLOOKUP(MAIL[[#This Row],[IDMAIL]],Tabla1[IDMAIL],Tabla1[TANDA])</f>
        <v>4</v>
      </c>
    </row>
    <row r="58" spans="1:8" x14ac:dyDescent="0.35">
      <c r="A58">
        <v>64</v>
      </c>
      <c r="B58" t="s">
        <v>18</v>
      </c>
      <c r="C58" t="s">
        <v>1</v>
      </c>
      <c r="D58" t="s">
        <v>172</v>
      </c>
      <c r="E58" t="s">
        <v>173</v>
      </c>
      <c r="F58" t="e" cm="1">
        <f t="array" ref="F58">ReplaceText(A58, 'REPLACES'!$A:$A,'REPLACES'!$B:$B, MAIL[[#This Row],[MCUERPO1]], "AGILICE")</f>
        <v>#VALUE!</v>
      </c>
      <c r="G58" t="s">
        <v>174</v>
      </c>
      <c r="H58">
        <f>_xlfn.XLOOKUP(MAIL[[#This Row],[IDMAIL]],Tabla1[IDMAIL],Tabla1[TANDA])</f>
        <v>4</v>
      </c>
    </row>
    <row r="59" spans="1:8" x14ac:dyDescent="0.35">
      <c r="A59">
        <v>77</v>
      </c>
      <c r="B59" t="s">
        <v>0</v>
      </c>
      <c r="C59" t="s">
        <v>1</v>
      </c>
      <c r="D59" t="s">
        <v>175</v>
      </c>
      <c r="E59" t="s">
        <v>176</v>
      </c>
      <c r="F59" t="e" cm="1">
        <f t="array" ref="F59">ReplaceText(A59, 'REPLACES'!$A:$A,'REPLACES'!$B:$B, MAIL[[#This Row],[MCUERPO1]], "AGILICE")</f>
        <v>#VALUE!</v>
      </c>
      <c r="G59" t="s">
        <v>177</v>
      </c>
      <c r="H59">
        <f>_xlfn.XLOOKUP(MAIL[[#This Row],[IDMAIL]],Tabla1[IDMAIL],Tabla1[TANDA])</f>
        <v>4</v>
      </c>
    </row>
    <row r="60" spans="1:8" x14ac:dyDescent="0.35">
      <c r="A60">
        <v>79</v>
      </c>
      <c r="B60" t="s">
        <v>18</v>
      </c>
      <c r="C60" t="s">
        <v>1</v>
      </c>
      <c r="D60" t="s">
        <v>178</v>
      </c>
      <c r="E60" t="s">
        <v>179</v>
      </c>
      <c r="F60" t="e" cm="1">
        <f t="array" ref="F60">ReplaceText(A60, 'REPLACES'!$A:$A,'REPLACES'!$B:$B, MAIL[[#This Row],[MCUERPO1]], "AGILICE")</f>
        <v>#VALUE!</v>
      </c>
      <c r="G60" t="s">
        <v>180</v>
      </c>
      <c r="H60">
        <f>_xlfn.XLOOKUP(MAIL[[#This Row],[IDMAIL]],Tabla1[IDMAIL],Tabla1[TANDA])</f>
        <v>4</v>
      </c>
    </row>
    <row r="61" spans="1:8" x14ac:dyDescent="0.35">
      <c r="A61">
        <v>80</v>
      </c>
      <c r="B61" t="s">
        <v>18</v>
      </c>
      <c r="C61" t="s">
        <v>1</v>
      </c>
      <c r="D61" t="s">
        <v>181</v>
      </c>
      <c r="E61" t="s">
        <v>182</v>
      </c>
      <c r="F61" t="e" cm="1">
        <f t="array" ref="F61">ReplaceText(A61, 'REPLACES'!$A:$A,'REPLACES'!$B:$B, MAIL[[#This Row],[MCUERPO1]], "AGILICE")</f>
        <v>#VALUE!</v>
      </c>
      <c r="G61" t="s">
        <v>168</v>
      </c>
      <c r="H61">
        <f>_xlfn.XLOOKUP(MAIL[[#This Row],[IDMAIL]],Tabla1[IDMAIL],Tabla1[TANDA])</f>
        <v>5</v>
      </c>
    </row>
    <row r="62" spans="1:8" x14ac:dyDescent="0.35">
      <c r="A62">
        <v>82</v>
      </c>
      <c r="B62" t="s">
        <v>18</v>
      </c>
      <c r="C62" t="s">
        <v>1</v>
      </c>
      <c r="D62" t="s">
        <v>183</v>
      </c>
      <c r="E62" t="s">
        <v>184</v>
      </c>
      <c r="F62" t="e" cm="1">
        <f t="array" ref="F62">ReplaceText(A62, 'REPLACES'!$A:$A,'REPLACES'!$B:$B, MAIL[[#This Row],[MCUERPO1]], "AGILICE")</f>
        <v>#VALUE!</v>
      </c>
      <c r="G62" t="s">
        <v>185</v>
      </c>
      <c r="H62">
        <f>_xlfn.XLOOKUP(MAIL[[#This Row],[IDMAIL]],Tabla1[IDMAIL],Tabla1[TANDA])</f>
        <v>5</v>
      </c>
    </row>
    <row r="63" spans="1:8" x14ac:dyDescent="0.35">
      <c r="A63">
        <v>81</v>
      </c>
      <c r="B63" t="s">
        <v>18</v>
      </c>
      <c r="C63" t="s">
        <v>1</v>
      </c>
      <c r="D63" t="s">
        <v>186</v>
      </c>
      <c r="E63" t="s">
        <v>187</v>
      </c>
      <c r="F63" t="e" cm="1">
        <f t="array" ref="F63">ReplaceText(A63, 'REPLACES'!$A:$A,'REPLACES'!$B:$B, MAIL[[#This Row],[MCUERPO1]], "AGILICE")</f>
        <v>#VALUE!</v>
      </c>
      <c r="G63" t="s">
        <v>188</v>
      </c>
      <c r="H63">
        <f>_xlfn.XLOOKUP(MAIL[[#This Row],[IDMAIL]],Tabla1[IDMAIL],Tabla1[TANDA])</f>
        <v>5</v>
      </c>
    </row>
    <row r="64" spans="1:8" x14ac:dyDescent="0.35">
      <c r="A64">
        <v>46</v>
      </c>
      <c r="B64" t="s">
        <v>18</v>
      </c>
      <c r="C64" t="s">
        <v>1</v>
      </c>
      <c r="D64" t="s">
        <v>189</v>
      </c>
      <c r="E64" t="s">
        <v>190</v>
      </c>
      <c r="F64" t="e" cm="1">
        <f t="array" ref="F64">ReplaceText(A64, 'REPLACES'!$A:$A,'REPLACES'!$B:$B, MAIL[[#This Row],[MCUERPO1]], "AGILICE")</f>
        <v>#VALUE!</v>
      </c>
      <c r="G64" t="s">
        <v>191</v>
      </c>
      <c r="H64">
        <f>_xlfn.XLOOKUP(MAIL[[#This Row],[IDMAIL]],Tabla1[IDMAIL],Tabla1[TANDA])</f>
        <v>5</v>
      </c>
    </row>
    <row r="65" spans="1:8" x14ac:dyDescent="0.35">
      <c r="A65">
        <v>39</v>
      </c>
      <c r="B65" t="s">
        <v>18</v>
      </c>
      <c r="C65" t="s">
        <v>1</v>
      </c>
      <c r="D65" t="s">
        <v>192</v>
      </c>
      <c r="E65" t="s">
        <v>193</v>
      </c>
      <c r="F65" t="e" cm="1">
        <f t="array" ref="F65">ReplaceText(A65, 'REPLACES'!$A:$A,'REPLACES'!$B:$B, MAIL[[#This Row],[MCUERPO1]], "AGILICE")</f>
        <v>#VALUE!</v>
      </c>
      <c r="G65" t="s">
        <v>194</v>
      </c>
      <c r="H65">
        <f>_xlfn.XLOOKUP(MAIL[[#This Row],[IDMAIL]],Tabla1[IDMAIL],Tabla1[TANDA])</f>
        <v>5</v>
      </c>
    </row>
    <row r="66" spans="1:8" x14ac:dyDescent="0.35">
      <c r="A66">
        <v>81</v>
      </c>
      <c r="B66" t="s">
        <v>18</v>
      </c>
      <c r="C66" t="s">
        <v>1</v>
      </c>
      <c r="D66" t="s">
        <v>186</v>
      </c>
      <c r="E66" t="s">
        <v>187</v>
      </c>
      <c r="F66" t="e" cm="1">
        <f t="array" ref="F66">ReplaceText(A66, 'REPLACES'!$A:$A,'REPLACES'!$B:$B, MAIL[[#This Row],[MCUERPO1]], "AGILICE")</f>
        <v>#VALUE!</v>
      </c>
      <c r="G66" t="s">
        <v>188</v>
      </c>
      <c r="H66">
        <f>_xlfn.XLOOKUP(MAIL[[#This Row],[IDMAIL]],Tabla1[IDMAIL],Tabla1[TANDA])</f>
        <v>5</v>
      </c>
    </row>
    <row r="67" spans="1:8" x14ac:dyDescent="0.35">
      <c r="A67">
        <v>83</v>
      </c>
      <c r="B67" t="s">
        <v>18</v>
      </c>
      <c r="C67" t="s">
        <v>1</v>
      </c>
      <c r="D67" t="s">
        <v>195</v>
      </c>
      <c r="E67" t="s">
        <v>196</v>
      </c>
      <c r="F67" t="e" cm="1">
        <f t="array" ref="F67">ReplaceText(A67, 'REPLACES'!$A:$A,'REPLACES'!$B:$B, MAIL[[#This Row],[MCUERPO1]], "AGILICE")</f>
        <v>#VALUE!</v>
      </c>
      <c r="G67" t="s">
        <v>195</v>
      </c>
      <c r="H67">
        <f>_xlfn.XLOOKUP(MAIL[[#This Row],[IDMAIL]],Tabla1[IDMAIL],Tabla1[TANDA])</f>
        <v>5</v>
      </c>
    </row>
    <row r="68" spans="1:8" x14ac:dyDescent="0.35">
      <c r="A68">
        <v>84</v>
      </c>
      <c r="B68" t="s">
        <v>18</v>
      </c>
      <c r="C68" t="s">
        <v>1</v>
      </c>
      <c r="D68" t="s">
        <v>197</v>
      </c>
      <c r="E68" t="s">
        <v>198</v>
      </c>
      <c r="F68" t="e" cm="1">
        <f t="array" ref="F68">ReplaceText(A68, 'REPLACES'!$A:$A,'REPLACES'!$B:$B, MAIL[[#This Row],[MCUERPO1]], "AGILICE")</f>
        <v>#VALUE!</v>
      </c>
      <c r="G68" t="s">
        <v>199</v>
      </c>
      <c r="H68">
        <f>_xlfn.XLOOKUP(MAIL[[#This Row],[IDMAIL]],Tabla1[IDMAIL],Tabla1[TANDA])</f>
        <v>5</v>
      </c>
    </row>
    <row r="69" spans="1:8" x14ac:dyDescent="0.35">
      <c r="A69">
        <v>85</v>
      </c>
      <c r="B69" t="s">
        <v>18</v>
      </c>
      <c r="C69" t="s">
        <v>1</v>
      </c>
      <c r="D69" t="s">
        <v>200</v>
      </c>
      <c r="E69" t="s">
        <v>201</v>
      </c>
      <c r="F69" t="e" cm="1">
        <f t="array" ref="F69">ReplaceText(A69, 'REPLACES'!$A:$A,'REPLACES'!$B:$B, MAIL[[#This Row],[MCUERPO1]], "AGILICE")</f>
        <v>#VALUE!</v>
      </c>
      <c r="G69" t="s">
        <v>202</v>
      </c>
      <c r="H69">
        <f>_xlfn.XLOOKUP(MAIL[[#This Row],[IDMAIL]],Tabla1[IDMAIL],Tabla1[TANDA])</f>
        <v>5</v>
      </c>
    </row>
    <row r="70" spans="1:8" x14ac:dyDescent="0.35">
      <c r="A70">
        <v>86</v>
      </c>
      <c r="B70" t="s">
        <v>18</v>
      </c>
      <c r="C70" t="s">
        <v>1</v>
      </c>
      <c r="D70" t="s">
        <v>203</v>
      </c>
      <c r="E70" t="s">
        <v>204</v>
      </c>
      <c r="F70" t="e" cm="1">
        <f t="array" ref="F70">ReplaceText(A70, 'REPLACES'!$A:$A,'REPLACES'!$B:$B, MAIL[[#This Row],[MCUERPO1]], "AGILICE")</f>
        <v>#VALUE!</v>
      </c>
      <c r="G70" t="s">
        <v>205</v>
      </c>
      <c r="H70">
        <f>_xlfn.XLOOKUP(MAIL[[#This Row],[IDMAIL]],Tabla1[IDMAIL],Tabla1[TANDA])</f>
        <v>5</v>
      </c>
    </row>
    <row r="71" spans="1:8" x14ac:dyDescent="0.35">
      <c r="A71">
        <v>87</v>
      </c>
      <c r="B71" t="s">
        <v>18</v>
      </c>
      <c r="C71" t="s">
        <v>1</v>
      </c>
      <c r="D71" t="s">
        <v>206</v>
      </c>
      <c r="E71" t="s">
        <v>207</v>
      </c>
      <c r="F71" t="e" cm="1">
        <f t="array" ref="F71">ReplaceText(A71, 'REPLACES'!$A:$A,'REPLACES'!$B:$B, MAIL[[#This Row],[MCUERPO1]], "AGILICE")</f>
        <v>#VALUE!</v>
      </c>
      <c r="G71" t="s">
        <v>208</v>
      </c>
      <c r="H71">
        <f>_xlfn.XLOOKUP(MAIL[[#This Row],[IDMAIL]],Tabla1[IDMAIL],Tabla1[TANDA])</f>
        <v>5</v>
      </c>
    </row>
    <row r="72" spans="1:8" x14ac:dyDescent="0.35">
      <c r="A72">
        <v>88</v>
      </c>
      <c r="B72" t="s">
        <v>18</v>
      </c>
      <c r="C72" t="s">
        <v>1</v>
      </c>
      <c r="D72" t="s">
        <v>209</v>
      </c>
      <c r="E72" t="s">
        <v>210</v>
      </c>
      <c r="F72" t="e" cm="1">
        <f t="array" ref="F72">ReplaceText(A72, 'REPLACES'!$A:$A,'REPLACES'!$B:$B, MAIL[[#This Row],[MCUERPO1]], "AGILICE")</f>
        <v>#VALUE!</v>
      </c>
      <c r="G72" t="s">
        <v>211</v>
      </c>
      <c r="H72">
        <f>_xlfn.XLOOKUP(MAIL[[#This Row],[IDMAIL]],Tabla1[IDMAIL],Tabla1[TANDA])</f>
        <v>5</v>
      </c>
    </row>
    <row r="73" spans="1:8" x14ac:dyDescent="0.35">
      <c r="A73">
        <v>83</v>
      </c>
      <c r="B73" t="s">
        <v>18</v>
      </c>
      <c r="C73" t="s">
        <v>1</v>
      </c>
      <c r="D73" t="s">
        <v>195</v>
      </c>
      <c r="E73" t="s">
        <v>196</v>
      </c>
      <c r="F73" t="e" cm="1">
        <f t="array" ref="F73">ReplaceText(A73, 'REPLACES'!$A:$A,'REPLACES'!$B:$B, MAIL[[#This Row],[MCUERPO1]], "AGILICE")</f>
        <v>#VALUE!</v>
      </c>
      <c r="G73" t="s">
        <v>195</v>
      </c>
      <c r="H73">
        <f>_xlfn.XLOOKUP(MAIL[[#This Row],[IDMAIL]],Tabla1[IDMAIL],Tabla1[TANDA])</f>
        <v>5</v>
      </c>
    </row>
    <row r="74" spans="1:8" x14ac:dyDescent="0.35">
      <c r="A74">
        <v>90</v>
      </c>
      <c r="B74" t="s">
        <v>18</v>
      </c>
      <c r="C74" t="s">
        <v>212</v>
      </c>
      <c r="D74" t="s">
        <v>213</v>
      </c>
      <c r="E74" t="s">
        <v>451</v>
      </c>
      <c r="F74" t="e" cm="1">
        <f t="array" ref="F74">ReplaceText(A74, 'REPLACES'!$A:$A,'REPLACES'!$B:$B, MAIL[[#This Row],[MCUERPO1]], "AGILICE")</f>
        <v>#VALUE!</v>
      </c>
      <c r="G74" t="s">
        <v>215</v>
      </c>
      <c r="H74">
        <f>_xlfn.XLOOKUP(MAIL[[#This Row],[IDMAIL]],Tabla1[IDMAIL],Tabla1[TANDA])</f>
        <v>5</v>
      </c>
    </row>
    <row r="75" spans="1:8" x14ac:dyDescent="0.35">
      <c r="A75">
        <v>93</v>
      </c>
      <c r="B75" t="s">
        <v>18</v>
      </c>
      <c r="C75" t="s">
        <v>1</v>
      </c>
      <c r="D75" t="s">
        <v>216</v>
      </c>
      <c r="E75" t="s">
        <v>217</v>
      </c>
      <c r="F75" t="e" cm="1">
        <f t="array" ref="F75">ReplaceText(A75, 'REPLACES'!$A:$A,'REPLACES'!$B:$B, MAIL[[#This Row],[MCUERPO1]], "AGILICE")</f>
        <v>#VALUE!</v>
      </c>
      <c r="G75" t="s">
        <v>218</v>
      </c>
      <c r="H75">
        <f>_xlfn.XLOOKUP(MAIL[[#This Row],[IDMAIL]],Tabla1[IDMAIL],Tabla1[TANDA])</f>
        <v>5</v>
      </c>
    </row>
    <row r="76" spans="1:8" x14ac:dyDescent="0.35">
      <c r="A76">
        <v>94</v>
      </c>
      <c r="B76" t="s">
        <v>18</v>
      </c>
      <c r="C76" t="s">
        <v>1</v>
      </c>
      <c r="D76" t="s">
        <v>219</v>
      </c>
      <c r="E76" t="s">
        <v>220</v>
      </c>
      <c r="F76" t="e" cm="1">
        <f t="array" ref="F76">ReplaceText(A76, 'REPLACES'!$A:$A,'REPLACES'!$B:$B, MAIL[[#This Row],[MCUERPO1]], "AGILICE")</f>
        <v>#VALUE!</v>
      </c>
      <c r="G76" t="s">
        <v>98</v>
      </c>
      <c r="H76">
        <f>_xlfn.XLOOKUP(MAIL[[#This Row],[IDMAIL]],Tabla1[IDMAIL],Tabla1[TANDA])</f>
        <v>6</v>
      </c>
    </row>
    <row r="77" spans="1:8" x14ac:dyDescent="0.35">
      <c r="A77">
        <v>91</v>
      </c>
      <c r="B77" t="s">
        <v>0</v>
      </c>
      <c r="C77" t="s">
        <v>1</v>
      </c>
      <c r="D77" t="s">
        <v>221</v>
      </c>
      <c r="E77" t="s">
        <v>222</v>
      </c>
      <c r="F77" t="e" cm="1">
        <f t="array" ref="F77">ReplaceText(A77, 'REPLACES'!$A:$A,'REPLACES'!$B:$B, MAIL[[#This Row],[MCUERPO1]], "AGILICE")</f>
        <v>#VALUE!</v>
      </c>
      <c r="G77" t="s">
        <v>223</v>
      </c>
      <c r="H77">
        <f>_xlfn.XLOOKUP(MAIL[[#This Row],[IDMAIL]],Tabla1[IDMAIL],Tabla1[TANDA])</f>
        <v>6</v>
      </c>
    </row>
    <row r="78" spans="1:8" x14ac:dyDescent="0.35">
      <c r="A78">
        <v>95</v>
      </c>
      <c r="B78" t="s">
        <v>18</v>
      </c>
      <c r="C78" t="s">
        <v>1</v>
      </c>
      <c r="D78" t="s">
        <v>224</v>
      </c>
      <c r="E78" t="s">
        <v>225</v>
      </c>
      <c r="F78" t="e" cm="1">
        <f t="array" ref="F78">ReplaceText(A78, 'REPLACES'!$A:$A,'REPLACES'!$B:$B, MAIL[[#This Row],[MCUERPO1]], "AGILICE")</f>
        <v>#VALUE!</v>
      </c>
      <c r="G78" t="s">
        <v>226</v>
      </c>
      <c r="H78">
        <f>_xlfn.XLOOKUP(MAIL[[#This Row],[IDMAIL]],Tabla1[IDMAIL],Tabla1[TANDA])</f>
        <v>6</v>
      </c>
    </row>
    <row r="79" spans="1:8" x14ac:dyDescent="0.35">
      <c r="A79">
        <v>100</v>
      </c>
      <c r="B79" t="s">
        <v>0</v>
      </c>
      <c r="C79" t="s">
        <v>1</v>
      </c>
      <c r="D79" t="s">
        <v>227</v>
      </c>
      <c r="E79" t="s">
        <v>228</v>
      </c>
      <c r="F79" t="e" cm="1">
        <f t="array" ref="F79">ReplaceText(A79, 'REPLACES'!$A:$A,'REPLACES'!$B:$B, MAIL[[#This Row],[MCUERPO1]], "AGILICE")</f>
        <v>#VALUE!</v>
      </c>
      <c r="G79" t="s">
        <v>227</v>
      </c>
      <c r="H79">
        <f>_xlfn.XLOOKUP(MAIL[[#This Row],[IDMAIL]],Tabla1[IDMAIL],Tabla1[TANDA])</f>
        <v>6</v>
      </c>
    </row>
    <row r="80" spans="1:8" x14ac:dyDescent="0.35">
      <c r="A80">
        <v>70</v>
      </c>
      <c r="B80" t="s">
        <v>0</v>
      </c>
      <c r="C80" t="s">
        <v>1</v>
      </c>
      <c r="D80" t="s">
        <v>229</v>
      </c>
      <c r="E80" t="s">
        <v>230</v>
      </c>
      <c r="F80" t="e" cm="1">
        <f t="array" ref="F80">ReplaceText(A80, 'REPLACES'!$A:$A,'REPLACES'!$B:$B, MAIL[[#This Row],[MCUERPO1]], "AGILICE")</f>
        <v>#VALUE!</v>
      </c>
      <c r="G80" t="s">
        <v>231</v>
      </c>
      <c r="H80">
        <f>_xlfn.XLOOKUP(MAIL[[#This Row],[IDMAIL]],Tabla1[IDMAIL],Tabla1[TANDA])</f>
        <v>6</v>
      </c>
    </row>
    <row r="81" spans="1:8" x14ac:dyDescent="0.35">
      <c r="A81">
        <v>96</v>
      </c>
      <c r="B81" t="s">
        <v>18</v>
      </c>
      <c r="C81" t="s">
        <v>1</v>
      </c>
      <c r="D81" t="s">
        <v>232</v>
      </c>
      <c r="E81" t="s">
        <v>233</v>
      </c>
      <c r="F81" t="e" cm="1">
        <f t="array" ref="F81">ReplaceText(A81, 'REPLACES'!$A:$A,'REPLACES'!$B:$B, MAIL[[#This Row],[MCUERPO1]], "AGILICE")</f>
        <v>#VALUE!</v>
      </c>
      <c r="G81" t="s">
        <v>234</v>
      </c>
      <c r="H81">
        <f>_xlfn.XLOOKUP(MAIL[[#This Row],[IDMAIL]],Tabla1[IDMAIL],Tabla1[TANDA])</f>
        <v>6</v>
      </c>
    </row>
    <row r="82" spans="1:8" x14ac:dyDescent="0.35">
      <c r="A82">
        <v>97</v>
      </c>
      <c r="B82" t="s">
        <v>0</v>
      </c>
      <c r="C82" t="s">
        <v>1</v>
      </c>
      <c r="D82" t="s">
        <v>235</v>
      </c>
      <c r="E82" t="s">
        <v>236</v>
      </c>
      <c r="F82" t="e" cm="1">
        <f t="array" ref="F82">ReplaceText(A82, 'REPLACES'!$A:$A,'REPLACES'!$B:$B, MAIL[[#This Row],[MCUERPO1]], "AGILICE")</f>
        <v>#VALUE!</v>
      </c>
      <c r="G82" t="s">
        <v>235</v>
      </c>
      <c r="H82">
        <f>_xlfn.XLOOKUP(MAIL[[#This Row],[IDMAIL]],Tabla1[IDMAIL],Tabla1[TANDA])</f>
        <v>6</v>
      </c>
    </row>
    <row r="83" spans="1:8" x14ac:dyDescent="0.35">
      <c r="A83">
        <v>98</v>
      </c>
      <c r="B83" t="s">
        <v>0</v>
      </c>
      <c r="C83" t="s">
        <v>1</v>
      </c>
      <c r="D83" t="s">
        <v>237</v>
      </c>
      <c r="E83" t="s">
        <v>238</v>
      </c>
      <c r="F83" t="e" cm="1">
        <f t="array" ref="F83">ReplaceText(A83, 'REPLACES'!$A:$A,'REPLACES'!$B:$B, MAIL[[#This Row],[MCUERPO1]], "AGILICE")</f>
        <v>#VALUE!</v>
      </c>
      <c r="G83" t="s">
        <v>237</v>
      </c>
      <c r="H83">
        <f>_xlfn.XLOOKUP(MAIL[[#This Row],[IDMAIL]],Tabla1[IDMAIL],Tabla1[TANDA])</f>
        <v>6</v>
      </c>
    </row>
    <row r="84" spans="1:8" x14ac:dyDescent="0.35">
      <c r="A84">
        <v>99</v>
      </c>
      <c r="B84" t="s">
        <v>0</v>
      </c>
      <c r="C84" t="s">
        <v>1</v>
      </c>
      <c r="D84" t="s">
        <v>239</v>
      </c>
      <c r="E84" t="s">
        <v>240</v>
      </c>
      <c r="F84" t="e" cm="1">
        <f t="array" ref="F84">ReplaceText(A84, 'REPLACES'!$A:$A,'REPLACES'!$B:$B, MAIL[[#This Row],[MCUERPO1]], "AGILICE")</f>
        <v>#VALUE!</v>
      </c>
      <c r="G84" t="s">
        <v>239</v>
      </c>
      <c r="H84">
        <f>_xlfn.XLOOKUP(MAIL[[#This Row],[IDMAIL]],Tabla1[IDMAIL],Tabla1[TANDA])</f>
        <v>6</v>
      </c>
    </row>
    <row r="85" spans="1:8" x14ac:dyDescent="0.35">
      <c r="A85">
        <v>101</v>
      </c>
      <c r="B85" t="s">
        <v>0</v>
      </c>
      <c r="C85" t="s">
        <v>1</v>
      </c>
      <c r="D85" t="s">
        <v>241</v>
      </c>
      <c r="E85" t="s">
        <v>242</v>
      </c>
      <c r="F85" t="e" cm="1">
        <f t="array" ref="F85">ReplaceText(A85, 'REPLACES'!$A:$A,'REPLACES'!$B:$B, MAIL[[#This Row],[MCUERPO1]], "AGILICE")</f>
        <v>#VALUE!</v>
      </c>
      <c r="G85" t="s">
        <v>243</v>
      </c>
      <c r="H85">
        <f>_xlfn.XLOOKUP(MAIL[[#This Row],[IDMAIL]],Tabla1[IDMAIL],Tabla1[TANDA])</f>
        <v>6</v>
      </c>
    </row>
    <row r="86" spans="1:8" x14ac:dyDescent="0.35">
      <c r="A86">
        <v>74</v>
      </c>
      <c r="B86" t="s">
        <v>0</v>
      </c>
      <c r="C86" t="s">
        <v>1</v>
      </c>
      <c r="D86" t="s">
        <v>244</v>
      </c>
      <c r="E86" t="s">
        <v>245</v>
      </c>
      <c r="F86" t="e" cm="1">
        <f t="array" ref="F86">ReplaceText(A86, 'REPLACES'!$A:$A,'REPLACES'!$B:$B, MAIL[[#This Row],[MCUERPO1]], "AGILICE")</f>
        <v>#VALUE!</v>
      </c>
      <c r="G86" t="s">
        <v>244</v>
      </c>
      <c r="H86">
        <f>_xlfn.XLOOKUP(MAIL[[#This Row],[IDMAIL]],Tabla1[IDMAIL],Tabla1[TANDA])</f>
        <v>6</v>
      </c>
    </row>
    <row r="87" spans="1:8" x14ac:dyDescent="0.35">
      <c r="A87">
        <v>73</v>
      </c>
      <c r="B87" t="s">
        <v>0</v>
      </c>
      <c r="C87" t="s">
        <v>1</v>
      </c>
      <c r="D87" t="s">
        <v>246</v>
      </c>
      <c r="E87" t="s">
        <v>247</v>
      </c>
      <c r="F87" t="e" cm="1">
        <f t="array" ref="F87">ReplaceText(A87, 'REPLACES'!$A:$A,'REPLACES'!$B:$B, MAIL[[#This Row],[MCUERPO1]], "AGILICE")</f>
        <v>#VALUE!</v>
      </c>
      <c r="G87" t="s">
        <v>246</v>
      </c>
      <c r="H87">
        <f>_xlfn.XLOOKUP(MAIL[[#This Row],[IDMAIL]],Tabla1[IDMAIL],Tabla1[TANDA])</f>
        <v>6</v>
      </c>
    </row>
    <row r="88" spans="1:8" x14ac:dyDescent="0.35">
      <c r="A88">
        <v>71</v>
      </c>
      <c r="B88" t="s">
        <v>0</v>
      </c>
      <c r="C88" t="s">
        <v>1</v>
      </c>
      <c r="D88" t="s">
        <v>248</v>
      </c>
      <c r="E88" t="s">
        <v>249</v>
      </c>
      <c r="F88" t="e" cm="1">
        <f t="array" ref="F88">ReplaceText(A88, 'REPLACES'!$A:$A,'REPLACES'!$B:$B, MAIL[[#This Row],[MCUERPO1]], "AGILICE")</f>
        <v>#VALUE!</v>
      </c>
      <c r="G88" t="s">
        <v>248</v>
      </c>
      <c r="H88">
        <f>_xlfn.XLOOKUP(MAIL[[#This Row],[IDMAIL]],Tabla1[IDMAIL],Tabla1[TANDA])</f>
        <v>6</v>
      </c>
    </row>
    <row r="89" spans="1:8" x14ac:dyDescent="0.35">
      <c r="A89">
        <v>102</v>
      </c>
      <c r="B89" t="s">
        <v>0</v>
      </c>
      <c r="C89" t="s">
        <v>1</v>
      </c>
      <c r="D89" t="s">
        <v>250</v>
      </c>
      <c r="E89" t="s">
        <v>251</v>
      </c>
      <c r="F89" t="e" cm="1">
        <f t="array" ref="F89">ReplaceText(A89, 'REPLACES'!$A:$A,'REPLACES'!$B:$B, MAIL[[#This Row],[MCUERPO1]], "AGILICE")</f>
        <v>#VALUE!</v>
      </c>
      <c r="G89" t="s">
        <v>250</v>
      </c>
      <c r="H89">
        <f>_xlfn.XLOOKUP(MAIL[[#This Row],[IDMAIL]],Tabla1[IDMAIL],Tabla1[TANDA])</f>
        <v>6</v>
      </c>
    </row>
    <row r="90" spans="1:8" x14ac:dyDescent="0.35">
      <c r="A90">
        <v>76</v>
      </c>
      <c r="B90" t="s">
        <v>0</v>
      </c>
      <c r="C90" t="s">
        <v>1</v>
      </c>
      <c r="D90" t="s">
        <v>252</v>
      </c>
      <c r="E90" t="s">
        <v>253</v>
      </c>
      <c r="F90" t="e" cm="1">
        <f t="array" ref="F90">ReplaceText(A90, 'REPLACES'!$A:$A,'REPLACES'!$B:$B, MAIL[[#This Row],[MCUERPO1]], "AGILICE")</f>
        <v>#VALUE!</v>
      </c>
      <c r="G90" t="s">
        <v>252</v>
      </c>
      <c r="H90">
        <f>_xlfn.XLOOKUP(MAIL[[#This Row],[IDMAIL]],Tabla1[IDMAIL],Tabla1[TANDA])</f>
        <v>6</v>
      </c>
    </row>
    <row r="91" spans="1:8" x14ac:dyDescent="0.35">
      <c r="A91">
        <v>103</v>
      </c>
      <c r="B91" t="s">
        <v>0</v>
      </c>
      <c r="C91" t="s">
        <v>1</v>
      </c>
      <c r="D91" t="s">
        <v>254</v>
      </c>
      <c r="E91" t="s">
        <v>255</v>
      </c>
      <c r="F91" t="e" cm="1">
        <f t="array" ref="F91">ReplaceText(A91, 'REPLACES'!$A:$A,'REPLACES'!$B:$B, MAIL[[#This Row],[MCUERPO1]], "AGILICE")</f>
        <v>#VALUE!</v>
      </c>
      <c r="G91" t="s">
        <v>254</v>
      </c>
      <c r="H91">
        <f>_xlfn.XLOOKUP(MAIL[[#This Row],[IDMAIL]],Tabla1[IDMAIL],Tabla1[TANDA])</f>
        <v>7</v>
      </c>
    </row>
    <row r="92" spans="1:8" x14ac:dyDescent="0.35">
      <c r="A92">
        <v>75</v>
      </c>
      <c r="B92" t="s">
        <v>0</v>
      </c>
      <c r="C92" t="s">
        <v>1</v>
      </c>
      <c r="D92" t="s">
        <v>256</v>
      </c>
      <c r="E92" t="s">
        <v>257</v>
      </c>
      <c r="F92" t="e" cm="1">
        <f t="array" ref="F92">ReplaceText(A92, 'REPLACES'!$A:$A,'REPLACES'!$B:$B, MAIL[[#This Row],[MCUERPO1]], "AGILICE")</f>
        <v>#VALUE!</v>
      </c>
      <c r="G92" t="s">
        <v>258</v>
      </c>
      <c r="H92">
        <f>_xlfn.XLOOKUP(MAIL[[#This Row],[IDMAIL]],Tabla1[IDMAIL],Tabla1[TANDA])</f>
        <v>7</v>
      </c>
    </row>
    <row r="93" spans="1:8" x14ac:dyDescent="0.35">
      <c r="A93">
        <v>104</v>
      </c>
      <c r="B93" t="s">
        <v>18</v>
      </c>
      <c r="C93" t="s">
        <v>1</v>
      </c>
      <c r="D93" t="s">
        <v>259</v>
      </c>
      <c r="E93" t="s">
        <v>260</v>
      </c>
      <c r="F93" t="e" cm="1">
        <f t="array" ref="F93">ReplaceText(A93, 'REPLACES'!$A:$A,'REPLACES'!$B:$B, MAIL[[#This Row],[MCUERPO1]], "AGILICE")</f>
        <v>#VALUE!</v>
      </c>
      <c r="G93" t="s">
        <v>261</v>
      </c>
      <c r="H93">
        <f>_xlfn.XLOOKUP(MAIL[[#This Row],[IDMAIL]],Tabla1[IDMAIL],Tabla1[TANDA])</f>
        <v>7</v>
      </c>
    </row>
    <row r="94" spans="1:8" x14ac:dyDescent="0.35">
      <c r="A94">
        <v>105</v>
      </c>
      <c r="B94" t="s">
        <v>0</v>
      </c>
      <c r="C94" t="s">
        <v>1</v>
      </c>
      <c r="D94" t="s">
        <v>262</v>
      </c>
      <c r="E94" t="s">
        <v>263</v>
      </c>
      <c r="F94" t="e" cm="1">
        <f t="array" ref="F94">ReplaceText(A94, 'REPLACES'!$A:$A,'REPLACES'!$B:$B, MAIL[[#This Row],[MCUERPO1]], "AGILICE")</f>
        <v>#VALUE!</v>
      </c>
      <c r="G94" t="s">
        <v>262</v>
      </c>
      <c r="H94">
        <f>_xlfn.XLOOKUP(MAIL[[#This Row],[IDMAIL]],Tabla1[IDMAIL],Tabla1[TANDA])</f>
        <v>7</v>
      </c>
    </row>
    <row r="95" spans="1:8" x14ac:dyDescent="0.35">
      <c r="A95">
        <v>106</v>
      </c>
      <c r="B95" t="s">
        <v>18</v>
      </c>
      <c r="C95" t="s">
        <v>1</v>
      </c>
      <c r="D95" t="s">
        <v>169</v>
      </c>
      <c r="E95" t="s">
        <v>264</v>
      </c>
      <c r="F95" t="e" cm="1">
        <f t="array" ref="F95">ReplaceText(A95, 'REPLACES'!$A:$A,'REPLACES'!$B:$B, MAIL[[#This Row],[MCUERPO1]], "AGILICE")</f>
        <v>#VALUE!</v>
      </c>
      <c r="G95" t="s">
        <v>265</v>
      </c>
      <c r="H95">
        <f>_xlfn.XLOOKUP(MAIL[[#This Row],[IDMAIL]],Tabla1[IDMAIL],Tabla1[TANDA])</f>
        <v>7</v>
      </c>
    </row>
    <row r="96" spans="1:8" x14ac:dyDescent="0.35">
      <c r="A96">
        <v>107</v>
      </c>
      <c r="B96" t="s">
        <v>266</v>
      </c>
      <c r="C96" t="s">
        <v>212</v>
      </c>
      <c r="D96" t="s">
        <v>267</v>
      </c>
      <c r="E96" t="s">
        <v>268</v>
      </c>
      <c r="F96" t="e" cm="1">
        <f t="array" ref="F96">ReplaceText(A96, 'REPLACES'!$A:$A,'REPLACES'!$B:$B, MAIL[[#This Row],[MCUERPO1]], "AGILICE")</f>
        <v>#VALUE!</v>
      </c>
      <c r="G96" t="s">
        <v>269</v>
      </c>
      <c r="H96">
        <f>_xlfn.XLOOKUP(MAIL[[#This Row],[IDMAIL]],Tabla1[IDMAIL],Tabla1[TANDA])</f>
        <v>7</v>
      </c>
    </row>
    <row r="97" spans="1:8" x14ac:dyDescent="0.35">
      <c r="A97">
        <v>108</v>
      </c>
      <c r="B97" t="s">
        <v>0</v>
      </c>
      <c r="C97" t="s">
        <v>1</v>
      </c>
      <c r="D97" t="s">
        <v>270</v>
      </c>
      <c r="E97" t="s">
        <v>271</v>
      </c>
      <c r="F97" t="e" cm="1">
        <f t="array" ref="F97">ReplaceText(A97, 'REPLACES'!$A:$A,'REPLACES'!$B:$B, MAIL[[#This Row],[MCUERPO1]], "AGILICE")</f>
        <v>#VALUE!</v>
      </c>
      <c r="G97" t="s">
        <v>272</v>
      </c>
      <c r="H97">
        <f>_xlfn.XLOOKUP(MAIL[[#This Row],[IDMAIL]],Tabla1[IDMAIL],Tabla1[TANDA])</f>
        <v>7</v>
      </c>
    </row>
    <row r="98" spans="1:8" x14ac:dyDescent="0.35">
      <c r="A98">
        <v>110</v>
      </c>
      <c r="B98" t="s">
        <v>0</v>
      </c>
      <c r="C98" t="s">
        <v>1</v>
      </c>
      <c r="D98" t="s">
        <v>273</v>
      </c>
      <c r="E98" t="s">
        <v>274</v>
      </c>
      <c r="F98" t="e" cm="1">
        <f t="array" ref="F98">ReplaceText(A98, 'REPLACES'!$A:$A,'REPLACES'!$B:$B, MAIL[[#This Row],[MCUERPO1]], "AGILICE")</f>
        <v>#VALUE!</v>
      </c>
      <c r="G98" t="s">
        <v>273</v>
      </c>
      <c r="H98">
        <f>_xlfn.XLOOKUP(MAIL[[#This Row],[IDMAIL]],Tabla1[IDMAIL],Tabla1[TANDA])</f>
        <v>7</v>
      </c>
    </row>
    <row r="99" spans="1:8" x14ac:dyDescent="0.35">
      <c r="A99">
        <v>111</v>
      </c>
      <c r="B99" t="s">
        <v>0</v>
      </c>
      <c r="C99" t="s">
        <v>1</v>
      </c>
      <c r="D99" t="s">
        <v>275</v>
      </c>
      <c r="E99" t="s">
        <v>274</v>
      </c>
      <c r="F99" t="e" cm="1">
        <f t="array" ref="F99">ReplaceText(A99, 'REPLACES'!$A:$A,'REPLACES'!$B:$B, MAIL[[#This Row],[MCUERPO1]], "AGILICE")</f>
        <v>#VALUE!</v>
      </c>
      <c r="G99" t="s">
        <v>275</v>
      </c>
      <c r="H99">
        <f>_xlfn.XLOOKUP(MAIL[[#This Row],[IDMAIL]],Tabla1[IDMAIL],Tabla1[TANDA])</f>
        <v>7</v>
      </c>
    </row>
    <row r="100" spans="1:8" x14ac:dyDescent="0.35">
      <c r="A100">
        <v>112</v>
      </c>
      <c r="B100" t="s">
        <v>0</v>
      </c>
      <c r="C100" t="s">
        <v>1</v>
      </c>
      <c r="D100" t="s">
        <v>276</v>
      </c>
      <c r="E100" t="s">
        <v>277</v>
      </c>
      <c r="F100" t="e" cm="1">
        <f t="array" ref="F100">ReplaceText(A100, 'REPLACES'!$A:$A,'REPLACES'!$B:$B, MAIL[[#This Row],[MCUERPO1]], "AGILICE")</f>
        <v>#VALUE!</v>
      </c>
      <c r="G100" t="s">
        <v>278</v>
      </c>
      <c r="H100">
        <f>_xlfn.XLOOKUP(MAIL[[#This Row],[IDMAIL]],Tabla1[IDMAIL],Tabla1[TANDA])</f>
        <v>7</v>
      </c>
    </row>
    <row r="101" spans="1:8" x14ac:dyDescent="0.35">
      <c r="A101">
        <v>113</v>
      </c>
      <c r="B101" t="s">
        <v>0</v>
      </c>
      <c r="C101" t="s">
        <v>1</v>
      </c>
      <c r="D101" t="s">
        <v>279</v>
      </c>
      <c r="E101" t="s">
        <v>280</v>
      </c>
      <c r="F101" t="e" cm="1">
        <f t="array" ref="F101">ReplaceText(A101, 'REPLACES'!$A:$A,'REPLACES'!$B:$B, MAIL[[#This Row],[MCUERPO1]], "AGILICE")</f>
        <v>#VALUE!</v>
      </c>
      <c r="G101" t="s">
        <v>281</v>
      </c>
      <c r="H101">
        <f>_xlfn.XLOOKUP(MAIL[[#This Row],[IDMAIL]],Tabla1[IDMAIL],Tabla1[TANDA])</f>
        <v>7</v>
      </c>
    </row>
    <row r="102" spans="1:8" x14ac:dyDescent="0.35">
      <c r="A102">
        <v>114</v>
      </c>
      <c r="B102" t="s">
        <v>0</v>
      </c>
      <c r="C102" t="s">
        <v>1</v>
      </c>
      <c r="D102" t="s">
        <v>282</v>
      </c>
      <c r="E102" t="s">
        <v>283</v>
      </c>
      <c r="F102" t="e" cm="1">
        <f t="array" ref="F102">ReplaceText(A102, 'REPLACES'!$A:$A,'REPLACES'!$B:$B, MAIL[[#This Row],[MCUERPO1]], "AGILICE")</f>
        <v>#VALUE!</v>
      </c>
      <c r="G102" t="s">
        <v>284</v>
      </c>
      <c r="H102">
        <f>_xlfn.XLOOKUP(MAIL[[#This Row],[IDMAIL]],Tabla1[IDMAIL],Tabla1[TANDA])</f>
        <v>7</v>
      </c>
    </row>
    <row r="103" spans="1:8" x14ac:dyDescent="0.35">
      <c r="A103">
        <v>115</v>
      </c>
      <c r="B103" t="s">
        <v>0</v>
      </c>
      <c r="C103" t="s">
        <v>1</v>
      </c>
      <c r="D103" t="s">
        <v>285</v>
      </c>
      <c r="E103" t="s">
        <v>286</v>
      </c>
      <c r="F103" t="e" cm="1">
        <f t="array" ref="F103">ReplaceText(A103, 'REPLACES'!$A:$A,'REPLACES'!$B:$B, MAIL[[#This Row],[MCUERPO1]], "AGILICE")</f>
        <v>#VALUE!</v>
      </c>
      <c r="G103" t="s">
        <v>284</v>
      </c>
      <c r="H103">
        <f>_xlfn.XLOOKUP(MAIL[[#This Row],[IDMAIL]],Tabla1[IDMAIL],Tabla1[TANDA])</f>
        <v>7</v>
      </c>
    </row>
    <row r="104" spans="1:8" x14ac:dyDescent="0.35">
      <c r="A104">
        <v>116</v>
      </c>
      <c r="B104" t="s">
        <v>18</v>
      </c>
      <c r="C104" t="s">
        <v>1</v>
      </c>
      <c r="D104" t="s">
        <v>287</v>
      </c>
      <c r="E104" t="s">
        <v>288</v>
      </c>
      <c r="F104" t="e" cm="1">
        <f t="array" ref="F104">ReplaceText(A104, 'REPLACES'!$A:$A,'REPLACES'!$B:$B, MAIL[[#This Row],[MCUERPO1]], "AGILICE")</f>
        <v>#VALUE!</v>
      </c>
      <c r="G104" t="s">
        <v>289</v>
      </c>
      <c r="H104">
        <f>_xlfn.XLOOKUP(MAIL[[#This Row],[IDMAIL]],Tabla1[IDMAIL],Tabla1[TANDA])</f>
        <v>7</v>
      </c>
    </row>
    <row r="105" spans="1:8" x14ac:dyDescent="0.35">
      <c r="A105">
        <v>19</v>
      </c>
      <c r="B105" t="s">
        <v>18</v>
      </c>
      <c r="C105" t="s">
        <v>1</v>
      </c>
      <c r="D105" t="s">
        <v>290</v>
      </c>
      <c r="E105" t="s">
        <v>291</v>
      </c>
      <c r="F105" t="e" cm="1">
        <f t="array" ref="F105">ReplaceText(A105, 'REPLACES'!$A:$A,'REPLACES'!$B:$B, MAIL[[#This Row],[MCUERPO1]], "AGILICE")</f>
        <v>#VALUE!</v>
      </c>
      <c r="G105" t="s">
        <v>292</v>
      </c>
      <c r="H105">
        <f>_xlfn.XLOOKUP(MAIL[[#This Row],[IDMAIL]],Tabla1[IDMAIL],Tabla1[TANDA])</f>
        <v>7</v>
      </c>
    </row>
    <row r="106" spans="1:8" x14ac:dyDescent="0.35">
      <c r="A106">
        <v>20</v>
      </c>
      <c r="B106" t="s">
        <v>18</v>
      </c>
      <c r="C106" t="s">
        <v>1</v>
      </c>
      <c r="D106" t="s">
        <v>224</v>
      </c>
      <c r="E106" t="s">
        <v>293</v>
      </c>
      <c r="F106" t="e" cm="1">
        <f t="array" ref="F106">ReplaceText(A106, 'REPLACES'!$A:$A,'REPLACES'!$B:$B, MAIL[[#This Row],[MCUERPO1]], "AGILICE")</f>
        <v>#VALUE!</v>
      </c>
      <c r="G106" t="s">
        <v>226</v>
      </c>
      <c r="H106">
        <f>_xlfn.XLOOKUP(MAIL[[#This Row],[IDMAIL]],Tabla1[IDMAIL],Tabla1[TANDA])</f>
        <v>8</v>
      </c>
    </row>
    <row r="107" spans="1:8" x14ac:dyDescent="0.35">
      <c r="A107">
        <v>21</v>
      </c>
      <c r="B107" t="s">
        <v>18</v>
      </c>
      <c r="C107" t="s">
        <v>1</v>
      </c>
      <c r="D107" t="s">
        <v>294</v>
      </c>
      <c r="E107" t="s">
        <v>452</v>
      </c>
      <c r="F107" t="e" cm="1">
        <f t="array" ref="F107">ReplaceText(A107, 'REPLACES'!$A:$A,'REPLACES'!$B:$B, MAIL[[#This Row],[MCUERPO1]], "AGILICE")</f>
        <v>#VALUE!</v>
      </c>
      <c r="G107" t="s">
        <v>296</v>
      </c>
      <c r="H107">
        <f>_xlfn.XLOOKUP(MAIL[[#This Row],[IDMAIL]],Tabla1[IDMAIL],Tabla1[TANDA])</f>
        <v>8</v>
      </c>
    </row>
    <row r="108" spans="1:8" x14ac:dyDescent="0.35">
      <c r="A108">
        <v>22</v>
      </c>
      <c r="B108" t="s">
        <v>18</v>
      </c>
      <c r="C108" t="s">
        <v>1</v>
      </c>
      <c r="D108" t="s">
        <v>297</v>
      </c>
      <c r="E108" t="s">
        <v>453</v>
      </c>
      <c r="F108" t="e" cm="1">
        <f t="array" ref="F108">ReplaceText(A108, 'REPLACES'!$A:$A,'REPLACES'!$B:$B, MAIL[[#This Row],[MCUERPO1]], "AGILICE")</f>
        <v>#VALUE!</v>
      </c>
      <c r="G108" t="s">
        <v>299</v>
      </c>
      <c r="H108">
        <f>_xlfn.XLOOKUP(MAIL[[#This Row],[IDMAIL]],Tabla1[IDMAIL],Tabla1[TANDA])</f>
        <v>8</v>
      </c>
    </row>
    <row r="109" spans="1:8" x14ac:dyDescent="0.35">
      <c r="A109">
        <v>23</v>
      </c>
      <c r="B109" t="s">
        <v>18</v>
      </c>
      <c r="C109" t="s">
        <v>1</v>
      </c>
      <c r="D109" t="s">
        <v>300</v>
      </c>
      <c r="E109" t="s">
        <v>301</v>
      </c>
      <c r="F109" t="e" cm="1">
        <f t="array" ref="F109">ReplaceText(A109, 'REPLACES'!$A:$A,'REPLACES'!$B:$B, MAIL[[#This Row],[MCUERPO1]], "AGILICE")</f>
        <v>#VALUE!</v>
      </c>
      <c r="G109" t="s">
        <v>302</v>
      </c>
      <c r="H109">
        <f>_xlfn.XLOOKUP(MAIL[[#This Row],[IDMAIL]],Tabla1[IDMAIL],Tabla1[TANDA])</f>
        <v>8</v>
      </c>
    </row>
    <row r="110" spans="1:8" x14ac:dyDescent="0.35">
      <c r="A110">
        <v>24</v>
      </c>
      <c r="B110" t="s">
        <v>18</v>
      </c>
      <c r="C110" t="s">
        <v>1</v>
      </c>
      <c r="D110" t="s">
        <v>303</v>
      </c>
      <c r="E110" t="s">
        <v>304</v>
      </c>
      <c r="F110" t="e" cm="1">
        <f t="array" ref="F110">ReplaceText(A110, 'REPLACES'!$A:$A,'REPLACES'!$B:$B, MAIL[[#This Row],[MCUERPO1]], "AGILICE")</f>
        <v>#VALUE!</v>
      </c>
      <c r="G110" t="s">
        <v>305</v>
      </c>
      <c r="H110">
        <f>_xlfn.XLOOKUP(MAIL[[#This Row],[IDMAIL]],Tabla1[IDMAIL],Tabla1[TANDA])</f>
        <v>8</v>
      </c>
    </row>
    <row r="111" spans="1:8" x14ac:dyDescent="0.35">
      <c r="A111">
        <v>25</v>
      </c>
      <c r="B111" t="s">
        <v>18</v>
      </c>
      <c r="C111" t="s">
        <v>1</v>
      </c>
      <c r="D111" t="s">
        <v>306</v>
      </c>
      <c r="E111" t="s">
        <v>307</v>
      </c>
      <c r="F111" t="e" cm="1">
        <f t="array" ref="F111">ReplaceText(A111, 'REPLACES'!$A:$A,'REPLACES'!$B:$B, MAIL[[#This Row],[MCUERPO1]], "AGILICE")</f>
        <v>#VALUE!</v>
      </c>
      <c r="G111" t="s">
        <v>308</v>
      </c>
      <c r="H111">
        <f>_xlfn.XLOOKUP(MAIL[[#This Row],[IDMAIL]],Tabla1[IDMAIL],Tabla1[TANDA])</f>
        <v>8</v>
      </c>
    </row>
    <row r="112" spans="1:8" x14ac:dyDescent="0.35">
      <c r="A112">
        <v>1000</v>
      </c>
      <c r="B112" t="s">
        <v>309</v>
      </c>
      <c r="C112" t="s">
        <v>310</v>
      </c>
      <c r="D112" t="s">
        <v>23</v>
      </c>
      <c r="E112" t="s">
        <v>311</v>
      </c>
      <c r="F112" t="e" cm="1">
        <f t="array" ref="F112">ReplaceText(A112, 'REPLACES'!$A:$A,'REPLACES'!$B:$B, MAIL[[#This Row],[MCUERPO1]], "AGILICE")</f>
        <v>#VALUE!</v>
      </c>
      <c r="G112" t="s">
        <v>25</v>
      </c>
      <c r="H112">
        <f>_xlfn.XLOOKUP(MAIL[[#This Row],[IDMAIL]],Tabla1[IDMAIL],Tabla1[TANDA])</f>
        <v>8</v>
      </c>
    </row>
    <row r="113" spans="1:8" x14ac:dyDescent="0.35">
      <c r="A113">
        <v>143</v>
      </c>
      <c r="B113" t="s">
        <v>312</v>
      </c>
      <c r="C113" t="s">
        <v>1</v>
      </c>
      <c r="D113" t="s">
        <v>312</v>
      </c>
      <c r="E113" t="s">
        <v>313</v>
      </c>
      <c r="F113" t="e" cm="1">
        <f t="array" ref="F113">ReplaceText(A113, 'REPLACES'!$A:$A,'REPLACES'!$B:$B, MAIL[[#This Row],[MCUERPO1]], "AGILICE")</f>
        <v>#VALUE!</v>
      </c>
      <c r="G113" t="s">
        <v>314</v>
      </c>
      <c r="H113">
        <f>_xlfn.XLOOKUP(MAIL[[#This Row],[IDMAIL]],Tabla1[IDMAIL],Tabla1[TANDA])</f>
        <v>8</v>
      </c>
    </row>
    <row r="114" spans="1:8" x14ac:dyDescent="0.35">
      <c r="A114">
        <v>144</v>
      </c>
      <c r="B114" t="s">
        <v>315</v>
      </c>
      <c r="C114" t="s">
        <v>1</v>
      </c>
      <c r="D114" t="s">
        <v>315</v>
      </c>
      <c r="E114" t="s">
        <v>316</v>
      </c>
      <c r="F114" t="e" cm="1">
        <f t="array" ref="F114">ReplaceText(A114, 'REPLACES'!$A:$A,'REPLACES'!$B:$B, MAIL[[#This Row],[MCUERPO1]], "AGILICE")</f>
        <v>#VALUE!</v>
      </c>
      <c r="G114" t="s">
        <v>317</v>
      </c>
      <c r="H114">
        <f>_xlfn.XLOOKUP(MAIL[[#This Row],[IDMAIL]],Tabla1[IDMAIL],Tabla1[TANDA])</f>
        <v>8</v>
      </c>
    </row>
    <row r="115" spans="1:8" x14ac:dyDescent="0.35">
      <c r="A115">
        <v>150</v>
      </c>
      <c r="B115" t="s">
        <v>318</v>
      </c>
      <c r="C115" t="s">
        <v>1</v>
      </c>
      <c r="D115" t="s">
        <v>319</v>
      </c>
      <c r="E115" t="s">
        <v>320</v>
      </c>
      <c r="F115" t="e" cm="1">
        <f t="array" ref="F115">ReplaceText(A115, 'REPLACES'!$A:$A,'REPLACES'!$B:$B, MAIL[[#This Row],[MCUERPO1]], "AGILICE")</f>
        <v>#VALUE!</v>
      </c>
      <c r="G115" t="s">
        <v>321</v>
      </c>
      <c r="H115">
        <f>_xlfn.XLOOKUP(MAIL[[#This Row],[IDMAIL]],Tabla1[IDMAIL],Tabla1[TANDA])</f>
        <v>8</v>
      </c>
    </row>
    <row r="116" spans="1:8" x14ac:dyDescent="0.35">
      <c r="A116">
        <v>151</v>
      </c>
      <c r="B116" t="s">
        <v>322</v>
      </c>
      <c r="C116" t="s">
        <v>1</v>
      </c>
      <c r="D116" t="s">
        <v>323</v>
      </c>
      <c r="E116" t="s">
        <v>324</v>
      </c>
      <c r="F116" t="e" cm="1">
        <f t="array" ref="F116">ReplaceText(A116, 'REPLACES'!$A:$A,'REPLACES'!$B:$B, MAIL[[#This Row],[MCUERPO1]], "AGILICE")</f>
        <v>#VALUE!</v>
      </c>
      <c r="G116" t="s">
        <v>325</v>
      </c>
      <c r="H116">
        <f>_xlfn.XLOOKUP(MAIL[[#This Row],[IDMAIL]],Tabla1[IDMAIL],Tabla1[TANDA])</f>
        <v>8</v>
      </c>
    </row>
    <row r="117" spans="1:8" x14ac:dyDescent="0.35">
      <c r="A117">
        <v>152</v>
      </c>
      <c r="B117" t="s">
        <v>326</v>
      </c>
      <c r="C117" t="s">
        <v>1</v>
      </c>
      <c r="D117" t="s">
        <v>327</v>
      </c>
      <c r="E117" t="s">
        <v>328</v>
      </c>
      <c r="F117" t="e" cm="1">
        <f t="array" ref="F117">ReplaceText(A117, 'REPLACES'!$A:$A,'REPLACES'!$B:$B, MAIL[[#This Row],[MCUERPO1]], "AGILICE")</f>
        <v>#VALUE!</v>
      </c>
      <c r="G117" t="s">
        <v>329</v>
      </c>
      <c r="H117">
        <f>_xlfn.XLOOKUP(MAIL[[#This Row],[IDMAIL]],Tabla1[IDMAIL],Tabla1[TANDA])</f>
        <v>8</v>
      </c>
    </row>
    <row r="118" spans="1:8" x14ac:dyDescent="0.35">
      <c r="A118">
        <v>153</v>
      </c>
      <c r="B118" t="s">
        <v>330</v>
      </c>
      <c r="C118" t="s">
        <v>1</v>
      </c>
      <c r="D118" t="s">
        <v>331</v>
      </c>
      <c r="E118" t="s">
        <v>332</v>
      </c>
      <c r="F118" t="e" cm="1">
        <f t="array" ref="F118">ReplaceText(A118, 'REPLACES'!$A:$A,'REPLACES'!$B:$B, MAIL[[#This Row],[MCUERPO1]], "AGILICE")</f>
        <v>#VALUE!</v>
      </c>
      <c r="G118" t="s">
        <v>333</v>
      </c>
      <c r="H118">
        <f>_xlfn.XLOOKUP(MAIL[[#This Row],[IDMAIL]],Tabla1[IDMAIL],Tabla1[TANDA])</f>
        <v>8</v>
      </c>
    </row>
    <row r="119" spans="1:8" x14ac:dyDescent="0.35">
      <c r="A119">
        <v>154</v>
      </c>
      <c r="B119" t="s">
        <v>334</v>
      </c>
      <c r="C119" t="s">
        <v>1</v>
      </c>
      <c r="D119" t="s">
        <v>335</v>
      </c>
      <c r="E119" t="s">
        <v>336</v>
      </c>
      <c r="F119" t="e" cm="1">
        <f t="array" ref="F119">ReplaceText(A119, 'REPLACES'!$A:$A,'REPLACES'!$B:$B, MAIL[[#This Row],[MCUERPO1]], "AGILICE")</f>
        <v>#VALUE!</v>
      </c>
      <c r="G119" t="s">
        <v>337</v>
      </c>
      <c r="H119">
        <f>_xlfn.XLOOKUP(MAIL[[#This Row],[IDMAIL]],Tabla1[IDMAIL],Tabla1[TANDA])</f>
        <v>8</v>
      </c>
    </row>
    <row r="120" spans="1:8" x14ac:dyDescent="0.35">
      <c r="A120">
        <v>6508</v>
      </c>
      <c r="B120" t="s">
        <v>0</v>
      </c>
      <c r="C120" t="s">
        <v>1</v>
      </c>
      <c r="D120" t="s">
        <v>338</v>
      </c>
      <c r="E120" t="s">
        <v>339</v>
      </c>
      <c r="F120" t="e" cm="1">
        <f t="array" ref="F120">ReplaceText(A120, 'REPLACES'!$A:$A,'REPLACES'!$B:$B, MAIL[[#This Row],[MCUERPO1]], "AGILICE")</f>
        <v>#VALUE!</v>
      </c>
      <c r="G120" t="s">
        <v>340</v>
      </c>
      <c r="H120">
        <f>_xlfn.XLOOKUP(MAIL[[#This Row],[IDMAIL]],Tabla1[IDMAIL],Tabla1[TANDA])</f>
        <v>8</v>
      </c>
    </row>
    <row r="121" spans="1:8" x14ac:dyDescent="0.35">
      <c r="A121">
        <v>161</v>
      </c>
      <c r="B121" t="s">
        <v>0</v>
      </c>
      <c r="C121" t="s">
        <v>1</v>
      </c>
      <c r="D121" t="s">
        <v>341</v>
      </c>
      <c r="E121" t="s">
        <v>454</v>
      </c>
      <c r="F121" t="e" cm="1">
        <f t="array" ref="F121">ReplaceText(A121, 'REPLACES'!$A:$A,'REPLACES'!$B:$B, MAIL[[#This Row],[MCUERPO1]], "AGILICE")</f>
        <v>#VALUE!</v>
      </c>
      <c r="G121" t="s">
        <v>343</v>
      </c>
      <c r="H121">
        <f>_xlfn.XLOOKUP(MAIL[[#This Row],[IDMAIL]],Tabla1[IDMAIL],Tabla1[TANDA])</f>
        <v>8</v>
      </c>
    </row>
    <row r="122" spans="1:8" x14ac:dyDescent="0.35">
      <c r="A122">
        <v>162</v>
      </c>
      <c r="B122" t="s">
        <v>0</v>
      </c>
      <c r="C122" t="s">
        <v>1</v>
      </c>
      <c r="D122" t="s">
        <v>344</v>
      </c>
      <c r="E122" t="s">
        <v>455</v>
      </c>
      <c r="F122" t="e" cm="1">
        <f t="array" ref="F122">ReplaceText(A122, 'REPLACES'!$A:$A,'REPLACES'!$B:$B, MAIL[[#This Row],[MCUERPO1]], "AGILICE")</f>
        <v>#VALUE!</v>
      </c>
      <c r="G122" t="s">
        <v>346</v>
      </c>
      <c r="H122">
        <f>_xlfn.XLOOKUP(MAIL[[#This Row],[IDMAIL]],Tabla1[IDMAIL],Tabla1[TANDA])</f>
        <v>8</v>
      </c>
    </row>
    <row r="123" spans="1:8" x14ac:dyDescent="0.35">
      <c r="A123">
        <v>163</v>
      </c>
      <c r="B123" t="s">
        <v>0</v>
      </c>
      <c r="C123" t="s">
        <v>1</v>
      </c>
      <c r="D123" t="s">
        <v>347</v>
      </c>
      <c r="E123" t="s">
        <v>456</v>
      </c>
      <c r="F123" t="e" cm="1">
        <f t="array" ref="F123">ReplaceText(A123, 'REPLACES'!$A:$A,'REPLACES'!$B:$B, MAIL[[#This Row],[MCUERPO1]], "AGILICE")</f>
        <v>#VALUE!</v>
      </c>
      <c r="G123" t="s">
        <v>349</v>
      </c>
      <c r="H123">
        <f>_xlfn.XLOOKUP(MAIL[[#This Row],[IDMAIL]],Tabla1[IDMAIL],Tabla1[TANDA])</f>
        <v>8</v>
      </c>
    </row>
    <row r="124" spans="1:8" x14ac:dyDescent="0.35">
      <c r="A124">
        <v>164</v>
      </c>
      <c r="B124" t="s">
        <v>0</v>
      </c>
      <c r="C124" t="s">
        <v>1</v>
      </c>
      <c r="D124" t="s">
        <v>350</v>
      </c>
      <c r="E124" t="s">
        <v>457</v>
      </c>
      <c r="F124" t="e" cm="1">
        <f t="array" ref="F124">ReplaceText(A124, 'REPLACES'!$A:$A,'REPLACES'!$B:$B, MAIL[[#This Row],[MCUERPO1]], "AGILICE")</f>
        <v>#VALUE!</v>
      </c>
      <c r="G124" t="s">
        <v>352</v>
      </c>
      <c r="H124">
        <f>_xlfn.XLOOKUP(MAIL[[#This Row],[IDMAIL]],Tabla1[IDMAIL],Tabla1[TANDA])</f>
        <v>8</v>
      </c>
    </row>
    <row r="125" spans="1:8" x14ac:dyDescent="0.35">
      <c r="A125">
        <v>166</v>
      </c>
      <c r="B125" t="s">
        <v>0</v>
      </c>
      <c r="C125" t="s">
        <v>1</v>
      </c>
      <c r="D125" t="s">
        <v>416</v>
      </c>
      <c r="E125" t="s">
        <v>417</v>
      </c>
      <c r="F125" t="e" cm="1">
        <f t="array" ref="F125">ReplaceText(A125, 'REPLACES'!$A:$A,'REPLACES'!$B:$B, MAIL[[#This Row],[MCUERPO1]], "AGILICE")</f>
        <v>#VALUE!</v>
      </c>
      <c r="G125" t="s">
        <v>418</v>
      </c>
      <c r="H125" t="e">
        <f>_xlfn.XLOOKUP(MAIL[[#This Row],[IDMAIL]],Tabla1[IDMAIL],Tabla1[TANDA])</f>
        <v>#N/A</v>
      </c>
    </row>
    <row r="126" spans="1:8" x14ac:dyDescent="0.35">
      <c r="A126">
        <v>20202</v>
      </c>
      <c r="B126" t="s">
        <v>362</v>
      </c>
      <c r="C126" t="s">
        <v>419</v>
      </c>
      <c r="D126" t="s">
        <v>385</v>
      </c>
      <c r="E126" t="s">
        <v>420</v>
      </c>
      <c r="F126" t="e" cm="1">
        <f t="array" ref="F126">ReplaceText(A126, 'REPLACES'!$A:$A,'REPLACES'!$B:$B, MAIL[[#This Row],[MCUERPO1]], "AGILICE")</f>
        <v>#VALUE!</v>
      </c>
      <c r="G126" t="s">
        <v>4</v>
      </c>
      <c r="H126" t="e">
        <f>_xlfn.XLOOKUP(MAIL[[#This Row],[IDMAIL]],Tabla1[IDMAIL],Tabla1[TANDA])</f>
        <v>#N/A</v>
      </c>
    </row>
    <row r="127" spans="1:8" x14ac:dyDescent="0.35">
      <c r="A127">
        <v>20200</v>
      </c>
      <c r="B127" t="s">
        <v>362</v>
      </c>
      <c r="C127" t="s">
        <v>421</v>
      </c>
      <c r="D127" t="s">
        <v>6</v>
      </c>
      <c r="E127" t="s">
        <v>422</v>
      </c>
      <c r="F127" t="e" cm="1">
        <f t="array" ref="F127">ReplaceText(A127, 'REPLACES'!$A:$A,'REPLACES'!$B:$B, MAIL[[#This Row],[MCUERPO1]], "AGILICE")</f>
        <v>#VALUE!</v>
      </c>
      <c r="G127" t="s">
        <v>8</v>
      </c>
      <c r="H127" t="e">
        <f>_xlfn.XLOOKUP(MAIL[[#This Row],[IDMAIL]],Tabla1[IDMAIL],Tabla1[TANDA])</f>
        <v>#N/A</v>
      </c>
    </row>
    <row r="128" spans="1:8" x14ac:dyDescent="0.35">
      <c r="A128">
        <v>20201</v>
      </c>
      <c r="B128" t="s">
        <v>362</v>
      </c>
      <c r="C128" t="s">
        <v>421</v>
      </c>
      <c r="D128" t="s">
        <v>9</v>
      </c>
      <c r="E128" t="s">
        <v>423</v>
      </c>
      <c r="F128" t="e" cm="1">
        <f t="array" ref="F128">ReplaceText(A128, 'REPLACES'!$A:$A,'REPLACES'!$B:$B, MAIL[[#This Row],[MCUERPO1]], "AGILICE")</f>
        <v>#VALUE!</v>
      </c>
      <c r="G128" t="s">
        <v>11</v>
      </c>
      <c r="H128" t="e">
        <f>_xlfn.XLOOKUP(MAIL[[#This Row],[IDMAIL]],Tabla1[IDMAIL],Tabla1[TANDA])</f>
        <v>#N/A</v>
      </c>
    </row>
    <row r="129" spans="1:8" x14ac:dyDescent="0.35">
      <c r="A129">
        <v>167</v>
      </c>
      <c r="B129" t="s">
        <v>0</v>
      </c>
      <c r="C129" t="s">
        <v>1</v>
      </c>
      <c r="D129" t="s">
        <v>425</v>
      </c>
      <c r="E129" t="s">
        <v>426</v>
      </c>
      <c r="F129" t="e" cm="1">
        <f t="array" ref="F129">ReplaceText(A129, 'REPLACES'!$A:$A,'REPLACES'!$B:$B, MAIL[[#This Row],[MCUERPO1]], "AGILICE")</f>
        <v>#VALUE!</v>
      </c>
      <c r="G129" t="s">
        <v>427</v>
      </c>
      <c r="H129" t="e">
        <f>_xlfn.XLOOKUP(MAIL[[#This Row],[IDMAIL]],Tabla1[IDMAIL],Tabla1[TANDA])</f>
        <v>#N/A</v>
      </c>
    </row>
    <row r="130" spans="1:8" x14ac:dyDescent="0.35">
      <c r="A130">
        <v>20166</v>
      </c>
      <c r="B130" t="s">
        <v>362</v>
      </c>
      <c r="C130" t="s">
        <v>419</v>
      </c>
      <c r="D130" t="s">
        <v>416</v>
      </c>
      <c r="E130" t="s">
        <v>428</v>
      </c>
      <c r="F130" t="e" cm="1">
        <f t="array" ref="F130">ReplaceText(A130, 'REPLACES'!$A:$A,'REPLACES'!$B:$B, MAIL[[#This Row],[MCUERPO1]], "AGILICE")</f>
        <v>#VALUE!</v>
      </c>
      <c r="G130" t="s">
        <v>418</v>
      </c>
      <c r="H130" t="e">
        <f>_xlfn.XLOOKUP(MAIL[[#This Row],[IDMAIL]],Tabla1[IDMAIL],Tabla1[TANDA])</f>
        <v>#N/A</v>
      </c>
    </row>
    <row r="131" spans="1:8" x14ac:dyDescent="0.35">
      <c r="A131">
        <v>165</v>
      </c>
      <c r="B131" t="s">
        <v>440</v>
      </c>
      <c r="C131" t="s">
        <v>441</v>
      </c>
      <c r="D131" t="s">
        <v>442</v>
      </c>
      <c r="E131" t="s">
        <v>443</v>
      </c>
      <c r="F131" t="e" cm="1">
        <f t="array" ref="F131">ReplaceText(A131, 'REPLACES'!$A:$A,'REPLACES'!$B:$B, MAIL[[#This Row],[MCUERPO1]], "AGILICE")</f>
        <v>#VALUE!</v>
      </c>
      <c r="G131" t="s">
        <v>444</v>
      </c>
      <c r="H131" t="e">
        <f>_xlfn.XLOOKUP(MAIL[[#This Row],[IDMAIL]],Tabla1[IDMAIL],Tabla1[TANDA])</f>
        <v>#N/A</v>
      </c>
    </row>
    <row r="132" spans="1:8" x14ac:dyDescent="0.35">
      <c r="A132">
        <v>20167</v>
      </c>
      <c r="B132" t="s">
        <v>362</v>
      </c>
      <c r="C132" t="s">
        <v>419</v>
      </c>
      <c r="D132" t="s">
        <v>425</v>
      </c>
      <c r="E132" t="s">
        <v>445</v>
      </c>
      <c r="F132" t="e" cm="1">
        <f t="array" ref="F132">ReplaceText(A132, 'REPLACES'!$A:$A,'REPLACES'!$B:$B, MAIL[[#This Row],[MCUERPO1]], "AGILICE")</f>
        <v>#VALUE!</v>
      </c>
      <c r="G132" t="s">
        <v>427</v>
      </c>
      <c r="H132" t="e">
        <f>_xlfn.XLOOKUP(MAIL[[#This Row],[IDMAIL]],Tabla1[IDMAIL],Tabla1[TANDA])</f>
        <v>#N/A</v>
      </c>
    </row>
    <row r="133" spans="1:8" x14ac:dyDescent="0.35">
      <c r="A133">
        <v>20119</v>
      </c>
      <c r="B133" t="s">
        <v>362</v>
      </c>
      <c r="C133" t="s">
        <v>419</v>
      </c>
      <c r="D133" t="s">
        <v>15</v>
      </c>
      <c r="E133" t="s">
        <v>446</v>
      </c>
      <c r="F133" t="e" cm="1">
        <f t="array" ref="F133">ReplaceText(A133, 'REPLACES'!$A:$A,'REPLACES'!$B:$B, MAIL[[#This Row],[MCUERPO1]], "AGILICE")</f>
        <v>#VALUE!</v>
      </c>
      <c r="G133" t="s">
        <v>17</v>
      </c>
      <c r="H133" t="e">
        <f>_xlfn.XLOOKUP(MAIL[[#This Row],[IDMAIL]],Tabla1[IDMAIL],Tabla1[TANDA])</f>
        <v>#N/A</v>
      </c>
    </row>
    <row r="134" spans="1:8" x14ac:dyDescent="0.35">
      <c r="A134">
        <v>20126</v>
      </c>
      <c r="B134" t="s">
        <v>362</v>
      </c>
      <c r="C134" t="s">
        <v>419</v>
      </c>
      <c r="D134" t="s">
        <v>19</v>
      </c>
      <c r="E134" t="s">
        <v>447</v>
      </c>
      <c r="F134" t="e" cm="1">
        <f t="array" ref="F134">ReplaceText(A134, 'REPLACES'!$A:$A,'REPLACES'!$B:$B, MAIL[[#This Row],[MCUERPO1]], "AGILICE")</f>
        <v>#VALUE!</v>
      </c>
      <c r="G134" t="s">
        <v>19</v>
      </c>
      <c r="H134" t="e">
        <f>_xlfn.XLOOKUP(MAIL[[#This Row],[IDMAIL]],Tabla1[IDMAIL],Tabla1[TANDA])</f>
        <v>#N/A</v>
      </c>
    </row>
    <row r="135" spans="1:8" x14ac:dyDescent="0.35">
      <c r="A135">
        <v>20118</v>
      </c>
      <c r="B135" t="s">
        <v>362</v>
      </c>
      <c r="C135" t="s">
        <v>419</v>
      </c>
      <c r="D135" t="s">
        <v>12</v>
      </c>
      <c r="E135" t="s">
        <v>458</v>
      </c>
      <c r="F135" t="e" cm="1">
        <f t="array" ref="F135">ReplaceText(A135, 'REPLACES'!$A:$A,'REPLACES'!$B:$B, MAIL[[#This Row],[MCUERPO1]], "AGILICE")</f>
        <v>#VALUE!</v>
      </c>
      <c r="G135" t="s">
        <v>14</v>
      </c>
      <c r="H135" t="e">
        <f>_xlfn.XLOOKUP(MAIL[[#This Row],[IDMAIL]],Tabla1[IDMAIL],Tabla1[TANDA])</f>
        <v>#N/A</v>
      </c>
    </row>
  </sheetData>
  <phoneticPr fontId="2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P124"/>
  <sheetViews>
    <sheetView topLeftCell="J1" workbookViewId="0">
      <selection activeCell="B2" sqref="B2:B124"/>
    </sheetView>
  </sheetViews>
  <sheetFormatPr defaultColWidth="10.90625" defaultRowHeight="14.5" x14ac:dyDescent="0.35"/>
  <cols>
    <col min="3" max="3" width="34.453125" bestFit="1" customWidth="1"/>
    <col min="4" max="5" width="34.453125" customWidth="1"/>
    <col min="6" max="6" width="80.453125" bestFit="1" customWidth="1"/>
    <col min="7" max="7" width="13.1796875" customWidth="1"/>
    <col min="8" max="8" width="14.453125" customWidth="1"/>
    <col min="9" max="9" width="15" customWidth="1"/>
    <col min="10" max="10" width="80.453125" bestFit="1" customWidth="1"/>
    <col min="11" max="11" width="16.08984375" customWidth="1"/>
    <col min="12" max="12" width="80.453125" bestFit="1" customWidth="1"/>
    <col min="13" max="13" width="20.81640625" customWidth="1"/>
    <col min="16" max="16" width="68.36328125" bestFit="1" customWidth="1"/>
  </cols>
  <sheetData>
    <row r="1" spans="1:16" x14ac:dyDescent="0.35">
      <c r="A1" s="1" t="s">
        <v>361</v>
      </c>
      <c r="B1" s="2" t="s">
        <v>353</v>
      </c>
      <c r="C1" s="2" t="s">
        <v>354</v>
      </c>
      <c r="D1" s="2" t="s">
        <v>382</v>
      </c>
      <c r="E1" s="2" t="s">
        <v>383</v>
      </c>
      <c r="F1" s="2" t="s">
        <v>355</v>
      </c>
      <c r="G1" s="2" t="s">
        <v>356</v>
      </c>
      <c r="H1" s="2" t="s">
        <v>357</v>
      </c>
      <c r="I1" s="2" t="s">
        <v>359</v>
      </c>
      <c r="J1" s="3" t="s">
        <v>378</v>
      </c>
      <c r="K1" s="3" t="s">
        <v>380</v>
      </c>
      <c r="L1" s="2" t="s">
        <v>379</v>
      </c>
      <c r="M1" s="2" t="s">
        <v>381</v>
      </c>
      <c r="N1" s="4" t="s">
        <v>377</v>
      </c>
      <c r="O1" s="2" t="s">
        <v>360</v>
      </c>
      <c r="P1" s="2" t="s">
        <v>393</v>
      </c>
    </row>
    <row r="2" spans="1:16" x14ac:dyDescent="0.35">
      <c r="A2" s="5">
        <v>1</v>
      </c>
      <c r="B2" s="6">
        <v>202</v>
      </c>
      <c r="C2" s="6" t="s">
        <v>0</v>
      </c>
      <c r="D2" s="6" t="s">
        <v>362</v>
      </c>
      <c r="E2" s="6" t="s">
        <v>384</v>
      </c>
      <c r="F2" s="6" t="s">
        <v>1</v>
      </c>
      <c r="G2" s="6" t="s">
        <v>2</v>
      </c>
      <c r="H2" s="6" t="s">
        <v>3</v>
      </c>
      <c r="I2" s="6" t="s">
        <v>4</v>
      </c>
      <c r="J2" s="15" t="s">
        <v>385</v>
      </c>
      <c r="K2" s="7"/>
      <c r="L2" s="8" t="s">
        <v>386</v>
      </c>
      <c r="M2" s="8"/>
      <c r="N2" s="9">
        <f>_xlfn.XLOOKUP(Tabla1[[#This Row],[IDMAIL]],Hoja3!B:B,Hoja3!G:G)</f>
        <v>1</v>
      </c>
      <c r="P2" t="s">
        <v>394</v>
      </c>
    </row>
    <row r="3" spans="1:16" x14ac:dyDescent="0.35">
      <c r="A3" s="5">
        <v>2</v>
      </c>
      <c r="B3" s="6">
        <v>200</v>
      </c>
      <c r="C3" s="6" t="s">
        <v>0</v>
      </c>
      <c r="D3" s="6" t="s">
        <v>362</v>
      </c>
      <c r="E3" s="6" t="s">
        <v>384</v>
      </c>
      <c r="F3" s="6" t="s">
        <v>5</v>
      </c>
      <c r="G3" s="6" t="s">
        <v>6</v>
      </c>
      <c r="H3" s="6" t="s">
        <v>7</v>
      </c>
      <c r="I3" s="6" t="s">
        <v>8</v>
      </c>
      <c r="J3" s="15" t="s">
        <v>6</v>
      </c>
      <c r="K3" s="7"/>
      <c r="L3" s="8" t="s">
        <v>6</v>
      </c>
      <c r="M3" s="8"/>
      <c r="N3" s="9">
        <f>_xlfn.XLOOKUP(Tabla1[[#This Row],[IDMAIL]],Hoja3!B:B,Hoja3!G:G)</f>
        <v>1</v>
      </c>
    </row>
    <row r="4" spans="1:16" x14ac:dyDescent="0.35">
      <c r="A4" s="5">
        <v>3</v>
      </c>
      <c r="B4" s="6">
        <v>201</v>
      </c>
      <c r="C4" s="6" t="s">
        <v>0</v>
      </c>
      <c r="D4" s="6" t="s">
        <v>362</v>
      </c>
      <c r="E4" s="6" t="s">
        <v>384</v>
      </c>
      <c r="F4" s="6" t="s">
        <v>5</v>
      </c>
      <c r="G4" s="6" t="s">
        <v>9</v>
      </c>
      <c r="H4" s="6" t="s">
        <v>10</v>
      </c>
      <c r="I4" s="6" t="s">
        <v>11</v>
      </c>
      <c r="J4" s="7" t="s">
        <v>9</v>
      </c>
      <c r="K4" s="7"/>
      <c r="L4" s="8" t="s">
        <v>9</v>
      </c>
      <c r="M4" s="8"/>
      <c r="N4" s="9">
        <f>_xlfn.XLOOKUP(Tabla1[[#This Row],[IDMAIL]],Hoja3!B:B,Hoja3!G:G)</f>
        <v>1</v>
      </c>
    </row>
    <row r="5" spans="1:16" x14ac:dyDescent="0.35">
      <c r="A5" s="5">
        <v>4</v>
      </c>
      <c r="B5" s="6">
        <v>118</v>
      </c>
      <c r="C5" s="6" t="s">
        <v>0</v>
      </c>
      <c r="D5" s="6" t="s">
        <v>362</v>
      </c>
      <c r="E5" s="6" t="s">
        <v>384</v>
      </c>
      <c r="F5" s="6" t="s">
        <v>1</v>
      </c>
      <c r="G5" s="6" t="s">
        <v>12</v>
      </c>
      <c r="H5" s="6" t="s">
        <v>13</v>
      </c>
      <c r="I5" s="6" t="s">
        <v>14</v>
      </c>
      <c r="J5" s="7" t="s">
        <v>12</v>
      </c>
      <c r="K5" s="7"/>
      <c r="L5" s="8" t="s">
        <v>12</v>
      </c>
      <c r="M5" s="8"/>
      <c r="N5" s="9">
        <f>_xlfn.XLOOKUP(Tabla1[[#This Row],[IDMAIL]],Hoja3!B:B,Hoja3!G:G)</f>
        <v>1</v>
      </c>
    </row>
    <row r="6" spans="1:16" x14ac:dyDescent="0.35">
      <c r="A6" s="5">
        <v>5</v>
      </c>
      <c r="B6" s="6">
        <v>119</v>
      </c>
      <c r="C6" s="6" t="s">
        <v>0</v>
      </c>
      <c r="D6" s="6" t="s">
        <v>362</v>
      </c>
      <c r="E6" s="6" t="s">
        <v>384</v>
      </c>
      <c r="F6" s="6" t="s">
        <v>1</v>
      </c>
      <c r="G6" s="6" t="s">
        <v>15</v>
      </c>
      <c r="H6" s="6" t="s">
        <v>16</v>
      </c>
      <c r="I6" s="6" t="s">
        <v>17</v>
      </c>
      <c r="J6" s="7" t="s">
        <v>15</v>
      </c>
      <c r="K6" s="7"/>
      <c r="L6" s="8" t="s">
        <v>15</v>
      </c>
      <c r="M6" s="8"/>
      <c r="N6" s="9">
        <f>_xlfn.XLOOKUP(Tabla1[[#This Row],[IDMAIL]],Hoja3!B:B,Hoja3!G:G)</f>
        <v>1</v>
      </c>
    </row>
    <row r="7" spans="1:16" x14ac:dyDescent="0.35">
      <c r="A7" s="5">
        <v>6</v>
      </c>
      <c r="B7" s="6">
        <v>126</v>
      </c>
      <c r="C7" s="6" t="s">
        <v>18</v>
      </c>
      <c r="D7" s="6" t="s">
        <v>362</v>
      </c>
      <c r="E7" s="6" t="s">
        <v>384</v>
      </c>
      <c r="F7" s="6" t="s">
        <v>1</v>
      </c>
      <c r="G7" s="6" t="s">
        <v>19</v>
      </c>
      <c r="H7" s="6" t="s">
        <v>20</v>
      </c>
      <c r="I7" s="6" t="s">
        <v>19</v>
      </c>
      <c r="J7" s="7" t="s">
        <v>19</v>
      </c>
      <c r="K7" s="7"/>
      <c r="L7" s="8" t="s">
        <v>19</v>
      </c>
      <c r="M7" s="8"/>
      <c r="N7" s="9">
        <f>_xlfn.XLOOKUP(Tabla1[[#This Row],[IDMAIL]],Hoja3!B:B,Hoja3!G:G)</f>
        <v>1</v>
      </c>
    </row>
    <row r="8" spans="1:16" x14ac:dyDescent="0.35">
      <c r="A8" s="5">
        <v>7</v>
      </c>
      <c r="B8" s="6">
        <v>130</v>
      </c>
      <c r="C8" s="6" t="s">
        <v>21</v>
      </c>
      <c r="D8" s="6" t="s">
        <v>362</v>
      </c>
      <c r="E8" s="6" t="s">
        <v>384</v>
      </c>
      <c r="F8" s="6" t="s">
        <v>22</v>
      </c>
      <c r="G8" s="6" t="s">
        <v>23</v>
      </c>
      <c r="H8" s="6" t="s">
        <v>24</v>
      </c>
      <c r="I8" s="6" t="s">
        <v>25</v>
      </c>
      <c r="J8" s="7" t="s">
        <v>23</v>
      </c>
      <c r="K8" s="7"/>
      <c r="L8" s="8" t="s">
        <v>23</v>
      </c>
      <c r="M8" s="8"/>
      <c r="N8" s="9">
        <f>_xlfn.XLOOKUP(Tabla1[[#This Row],[IDMAIL]],Hoja3!B:B,Hoja3!G:G)</f>
        <v>1</v>
      </c>
    </row>
    <row r="9" spans="1:16" x14ac:dyDescent="0.35">
      <c r="A9" s="5">
        <v>8</v>
      </c>
      <c r="B9" s="6">
        <v>6501</v>
      </c>
      <c r="C9" s="6" t="s">
        <v>26</v>
      </c>
      <c r="D9" s="6" t="s">
        <v>362</v>
      </c>
      <c r="E9" s="6" t="s">
        <v>384</v>
      </c>
      <c r="F9" s="6" t="s">
        <v>1</v>
      </c>
      <c r="G9" s="6" t="s">
        <v>27</v>
      </c>
      <c r="H9" s="6" t="s">
        <v>28</v>
      </c>
      <c r="I9" s="6" t="s">
        <v>29</v>
      </c>
      <c r="J9" s="7" t="s">
        <v>27</v>
      </c>
      <c r="K9" s="7"/>
      <c r="L9" s="8" t="s">
        <v>27</v>
      </c>
      <c r="M9" s="8"/>
      <c r="N9" s="9">
        <f>_xlfn.XLOOKUP(Tabla1[[#This Row],[IDMAIL]],Hoja3!B:B,Hoja3!G:G)</f>
        <v>1</v>
      </c>
    </row>
    <row r="10" spans="1:16" x14ac:dyDescent="0.35">
      <c r="A10" s="5">
        <v>9</v>
      </c>
      <c r="B10" s="6">
        <v>6502</v>
      </c>
      <c r="C10" s="6" t="s">
        <v>26</v>
      </c>
      <c r="D10" s="6" t="s">
        <v>362</v>
      </c>
      <c r="E10" s="6" t="s">
        <v>384</v>
      </c>
      <c r="F10" s="6" t="s">
        <v>1</v>
      </c>
      <c r="G10" s="6" t="s">
        <v>30</v>
      </c>
      <c r="H10" s="6" t="s">
        <v>31</v>
      </c>
      <c r="I10" s="6" t="s">
        <v>32</v>
      </c>
      <c r="J10" s="7" t="s">
        <v>30</v>
      </c>
      <c r="K10" s="7"/>
      <c r="L10" s="8" t="s">
        <v>30</v>
      </c>
      <c r="M10" s="8"/>
      <c r="N10" s="9">
        <f>_xlfn.XLOOKUP(Tabla1[[#This Row],[IDMAIL]],Hoja3!B:B,Hoja3!G:G)</f>
        <v>1</v>
      </c>
    </row>
    <row r="11" spans="1:16" x14ac:dyDescent="0.35">
      <c r="A11" s="5">
        <v>10</v>
      </c>
      <c r="B11" s="6">
        <v>133</v>
      </c>
      <c r="C11" s="6" t="s">
        <v>33</v>
      </c>
      <c r="D11" s="6" t="s">
        <v>362</v>
      </c>
      <c r="E11" s="6" t="s">
        <v>384</v>
      </c>
      <c r="F11" s="6" t="s">
        <v>34</v>
      </c>
      <c r="G11" s="6" t="s">
        <v>35</v>
      </c>
      <c r="H11" s="6" t="s">
        <v>36</v>
      </c>
      <c r="I11" s="6" t="s">
        <v>37</v>
      </c>
      <c r="J11" s="7" t="s">
        <v>35</v>
      </c>
      <c r="K11" s="7"/>
      <c r="L11" s="8" t="s">
        <v>35</v>
      </c>
      <c r="M11" s="8"/>
      <c r="N11" s="9">
        <f>_xlfn.XLOOKUP(Tabla1[[#This Row],[IDMAIL]],Hoja3!B:B,Hoja3!G:G)</f>
        <v>1</v>
      </c>
    </row>
    <row r="12" spans="1:16" x14ac:dyDescent="0.35">
      <c r="A12" s="5">
        <v>11</v>
      </c>
      <c r="B12" s="6">
        <v>27</v>
      </c>
      <c r="C12" s="6" t="s">
        <v>18</v>
      </c>
      <c r="D12" s="6" t="s">
        <v>362</v>
      </c>
      <c r="E12" s="6" t="s">
        <v>384</v>
      </c>
      <c r="F12" s="6" t="s">
        <v>1</v>
      </c>
      <c r="G12" s="6" t="s">
        <v>38</v>
      </c>
      <c r="H12" s="6" t="s">
        <v>39</v>
      </c>
      <c r="I12" s="6" t="s">
        <v>40</v>
      </c>
      <c r="J12" s="7" t="s">
        <v>38</v>
      </c>
      <c r="K12" s="7"/>
      <c r="L12" s="8" t="s">
        <v>38</v>
      </c>
      <c r="M12" s="8"/>
      <c r="N12" s="9">
        <f>_xlfn.XLOOKUP(Tabla1[[#This Row],[IDMAIL]],Hoja3!B:B,Hoja3!G:G)</f>
        <v>1</v>
      </c>
    </row>
    <row r="13" spans="1:16" x14ac:dyDescent="0.35">
      <c r="A13" s="5">
        <v>12</v>
      </c>
      <c r="B13" s="6">
        <v>28</v>
      </c>
      <c r="C13" s="6" t="s">
        <v>18</v>
      </c>
      <c r="D13" s="6" t="s">
        <v>362</v>
      </c>
      <c r="E13" s="6" t="s">
        <v>384</v>
      </c>
      <c r="F13" s="6" t="s">
        <v>1</v>
      </c>
      <c r="G13" s="6" t="s">
        <v>41</v>
      </c>
      <c r="H13" s="6" t="s">
        <v>42</v>
      </c>
      <c r="I13" s="6" t="s">
        <v>43</v>
      </c>
      <c r="J13" s="7" t="s">
        <v>41</v>
      </c>
      <c r="K13" s="7"/>
      <c r="L13" s="8" t="s">
        <v>41</v>
      </c>
      <c r="M13" s="8"/>
      <c r="N13" s="9">
        <f>_xlfn.XLOOKUP(Tabla1[[#This Row],[IDMAIL]],Hoja3!B:B,Hoja3!G:G)</f>
        <v>1</v>
      </c>
    </row>
    <row r="14" spans="1:16" x14ac:dyDescent="0.35">
      <c r="A14" s="5">
        <v>13</v>
      </c>
      <c r="B14" s="6">
        <v>29</v>
      </c>
      <c r="C14" s="6" t="s">
        <v>18</v>
      </c>
      <c r="D14" s="6" t="s">
        <v>362</v>
      </c>
      <c r="E14" s="6" t="s">
        <v>384</v>
      </c>
      <c r="F14" s="6" t="s">
        <v>1</v>
      </c>
      <c r="G14" s="6" t="s">
        <v>44</v>
      </c>
      <c r="H14" s="6" t="s">
        <v>45</v>
      </c>
      <c r="I14" s="6" t="s">
        <v>46</v>
      </c>
      <c r="J14" s="7" t="s">
        <v>44</v>
      </c>
      <c r="K14" s="7"/>
      <c r="L14" s="8" t="s">
        <v>44</v>
      </c>
      <c r="M14" s="8"/>
      <c r="N14" s="9">
        <f>_xlfn.XLOOKUP(Tabla1[[#This Row],[IDMAIL]],Hoja3!B:B,Hoja3!G:G)</f>
        <v>1</v>
      </c>
    </row>
    <row r="15" spans="1:16" x14ac:dyDescent="0.35">
      <c r="A15" s="5">
        <v>14</v>
      </c>
      <c r="B15" s="6">
        <v>30</v>
      </c>
      <c r="C15" s="6" t="s">
        <v>18</v>
      </c>
      <c r="D15" s="6" t="s">
        <v>362</v>
      </c>
      <c r="E15" s="6" t="s">
        <v>384</v>
      </c>
      <c r="F15" s="6" t="s">
        <v>1</v>
      </c>
      <c r="G15" s="6" t="s">
        <v>47</v>
      </c>
      <c r="H15" s="6" t="s">
        <v>48</v>
      </c>
      <c r="I15" s="6" t="s">
        <v>49</v>
      </c>
      <c r="J15" s="7" t="s">
        <v>47</v>
      </c>
      <c r="K15" s="7"/>
      <c r="L15" s="8" t="s">
        <v>47</v>
      </c>
      <c r="M15" s="8"/>
      <c r="N15" s="9">
        <f>_xlfn.XLOOKUP(Tabla1[[#This Row],[IDMAIL]],Hoja3!B:B,Hoja3!G:G)</f>
        <v>1</v>
      </c>
    </row>
    <row r="16" spans="1:16" x14ac:dyDescent="0.35">
      <c r="A16" s="5">
        <v>15</v>
      </c>
      <c r="B16" s="6">
        <v>31</v>
      </c>
      <c r="C16" s="6" t="s">
        <v>18</v>
      </c>
      <c r="D16" s="6" t="s">
        <v>362</v>
      </c>
      <c r="E16" s="6" t="s">
        <v>384</v>
      </c>
      <c r="F16" s="6" t="s">
        <v>1</v>
      </c>
      <c r="G16" s="6" t="s">
        <v>50</v>
      </c>
      <c r="H16" s="6" t="s">
        <v>51</v>
      </c>
      <c r="I16" s="6" t="s">
        <v>52</v>
      </c>
      <c r="J16" s="7" t="s">
        <v>50</v>
      </c>
      <c r="K16" s="7"/>
      <c r="L16" s="8" t="s">
        <v>50</v>
      </c>
      <c r="M16" s="8"/>
      <c r="N16" s="9">
        <f>_xlfn.XLOOKUP(Tabla1[[#This Row],[IDMAIL]],Hoja3!B:B,Hoja3!G:G)</f>
        <v>1</v>
      </c>
    </row>
    <row r="17" spans="1:14" x14ac:dyDescent="0.35">
      <c r="A17" s="5">
        <v>16</v>
      </c>
      <c r="B17" s="6">
        <v>32</v>
      </c>
      <c r="C17" s="6" t="s">
        <v>18</v>
      </c>
      <c r="D17" s="6"/>
      <c r="E17" s="6"/>
      <c r="F17" s="6" t="s">
        <v>1</v>
      </c>
      <c r="G17" s="6" t="s">
        <v>53</v>
      </c>
      <c r="H17" s="6" t="s">
        <v>54</v>
      </c>
      <c r="I17" s="6" t="s">
        <v>55</v>
      </c>
      <c r="J17" s="7" t="s">
        <v>53</v>
      </c>
      <c r="K17" s="7"/>
      <c r="L17" s="8" t="s">
        <v>53</v>
      </c>
      <c r="M17" s="8"/>
      <c r="N17" s="9">
        <f>_xlfn.XLOOKUP(Tabla1[[#This Row],[IDMAIL]],Hoja3!B:B,Hoja3!G:G)</f>
        <v>2</v>
      </c>
    </row>
    <row r="18" spans="1:14" x14ac:dyDescent="0.35">
      <c r="A18" s="5">
        <v>17</v>
      </c>
      <c r="B18" s="6">
        <v>33</v>
      </c>
      <c r="C18" s="6" t="s">
        <v>18</v>
      </c>
      <c r="D18" s="6"/>
      <c r="E18" s="6"/>
      <c r="F18" s="6" t="s">
        <v>1</v>
      </c>
      <c r="G18" s="6" t="s">
        <v>56</v>
      </c>
      <c r="H18" s="6" t="s">
        <v>57</v>
      </c>
      <c r="I18" s="6" t="s">
        <v>58</v>
      </c>
      <c r="J18" s="7" t="s">
        <v>56</v>
      </c>
      <c r="K18" s="7"/>
      <c r="L18" s="8" t="s">
        <v>56</v>
      </c>
      <c r="M18" s="8"/>
      <c r="N18" s="9">
        <f>_xlfn.XLOOKUP(Tabla1[[#This Row],[IDMAIL]],Hoja3!B:B,Hoja3!G:G)</f>
        <v>2</v>
      </c>
    </row>
    <row r="19" spans="1:14" x14ac:dyDescent="0.35">
      <c r="A19" s="5">
        <v>18</v>
      </c>
      <c r="B19" s="6">
        <v>117</v>
      </c>
      <c r="C19" s="6" t="s">
        <v>18</v>
      </c>
      <c r="D19" s="6"/>
      <c r="E19" s="6"/>
      <c r="F19" s="6" t="s">
        <v>1</v>
      </c>
      <c r="G19" s="6" t="s">
        <v>59</v>
      </c>
      <c r="H19" s="6" t="s">
        <v>60</v>
      </c>
      <c r="I19" s="6" t="s">
        <v>61</v>
      </c>
      <c r="J19" s="7" t="s">
        <v>59</v>
      </c>
      <c r="K19" s="7"/>
      <c r="L19" s="8" t="s">
        <v>59</v>
      </c>
      <c r="M19" s="8"/>
      <c r="N19" s="9">
        <f>_xlfn.XLOOKUP(Tabla1[[#This Row],[IDMAIL]],Hoja3!B:B,Hoja3!G:G)</f>
        <v>2</v>
      </c>
    </row>
    <row r="20" spans="1:14" x14ac:dyDescent="0.35">
      <c r="A20" s="5">
        <v>19</v>
      </c>
      <c r="B20" s="6">
        <v>6503</v>
      </c>
      <c r="C20" s="6" t="s">
        <v>18</v>
      </c>
      <c r="D20" s="6"/>
      <c r="E20" s="6"/>
      <c r="F20" s="6" t="s">
        <v>1</v>
      </c>
      <c r="G20" s="6" t="s">
        <v>62</v>
      </c>
      <c r="H20" s="6" t="s">
        <v>63</v>
      </c>
      <c r="I20" s="6" t="s">
        <v>64</v>
      </c>
      <c r="J20" s="7" t="s">
        <v>62</v>
      </c>
      <c r="K20" s="7"/>
      <c r="L20" s="8" t="s">
        <v>62</v>
      </c>
      <c r="M20" s="8"/>
      <c r="N20" s="9">
        <f>_xlfn.XLOOKUP(Tabla1[[#This Row],[IDMAIL]],Hoja3!B:B,Hoja3!G:G)</f>
        <v>2</v>
      </c>
    </row>
    <row r="21" spans="1:14" x14ac:dyDescent="0.35">
      <c r="A21" s="5">
        <v>20</v>
      </c>
      <c r="B21" s="6">
        <v>6504</v>
      </c>
      <c r="C21" s="6" t="s">
        <v>18</v>
      </c>
      <c r="D21" s="6"/>
      <c r="E21" s="6"/>
      <c r="F21" s="6" t="s">
        <v>1</v>
      </c>
      <c r="G21" s="6" t="s">
        <v>65</v>
      </c>
      <c r="H21" s="6" t="s">
        <v>66</v>
      </c>
      <c r="I21" s="6" t="s">
        <v>67</v>
      </c>
      <c r="J21" s="7" t="s">
        <v>65</v>
      </c>
      <c r="K21" s="7"/>
      <c r="L21" s="8" t="s">
        <v>65</v>
      </c>
      <c r="M21" s="8"/>
      <c r="N21" s="9">
        <f>_xlfn.XLOOKUP(Tabla1[[#This Row],[IDMAIL]],Hoja3!B:B,Hoja3!G:G)</f>
        <v>2</v>
      </c>
    </row>
    <row r="22" spans="1:14" x14ac:dyDescent="0.35">
      <c r="A22" s="5">
        <v>21</v>
      </c>
      <c r="B22" s="6">
        <v>122</v>
      </c>
      <c r="C22" s="6" t="s">
        <v>0</v>
      </c>
      <c r="D22" s="6"/>
      <c r="E22" s="6"/>
      <c r="F22" s="6" t="s">
        <v>1</v>
      </c>
      <c r="G22" s="6" t="s">
        <v>68</v>
      </c>
      <c r="H22" s="6" t="s">
        <v>69</v>
      </c>
      <c r="I22" s="6" t="s">
        <v>68</v>
      </c>
      <c r="J22" s="7" t="s">
        <v>68</v>
      </c>
      <c r="K22" s="7"/>
      <c r="L22" s="8" t="s">
        <v>68</v>
      </c>
      <c r="M22" s="8"/>
      <c r="N22" s="9">
        <f>_xlfn.XLOOKUP(Tabla1[[#This Row],[IDMAIL]],Hoja3!B:B,Hoja3!G:G)</f>
        <v>2</v>
      </c>
    </row>
    <row r="23" spans="1:14" x14ac:dyDescent="0.35">
      <c r="A23" s="5">
        <v>22</v>
      </c>
      <c r="B23" s="6">
        <v>160</v>
      </c>
      <c r="C23" s="6" t="s">
        <v>0</v>
      </c>
      <c r="D23" s="6"/>
      <c r="E23" s="6"/>
      <c r="F23" s="6" t="s">
        <v>1</v>
      </c>
      <c r="G23" s="6" t="s">
        <v>70</v>
      </c>
      <c r="H23" s="6" t="s">
        <v>71</v>
      </c>
      <c r="I23" s="6" t="s">
        <v>25</v>
      </c>
      <c r="J23" s="7" t="s">
        <v>70</v>
      </c>
      <c r="K23" s="7"/>
      <c r="L23" s="8" t="s">
        <v>70</v>
      </c>
      <c r="M23" s="8"/>
      <c r="N23" s="9">
        <f>_xlfn.XLOOKUP(Tabla1[[#This Row],[IDMAIL]],Hoja3!B:B,Hoja3!G:G)</f>
        <v>2</v>
      </c>
    </row>
    <row r="24" spans="1:14" x14ac:dyDescent="0.35">
      <c r="A24" s="5">
        <v>23</v>
      </c>
      <c r="B24" s="6">
        <v>6505</v>
      </c>
      <c r="C24" s="6" t="s">
        <v>0</v>
      </c>
      <c r="D24" s="6"/>
      <c r="E24" s="6"/>
      <c r="F24" s="6" t="s">
        <v>1</v>
      </c>
      <c r="G24" s="6" t="s">
        <v>72</v>
      </c>
      <c r="H24" s="6" t="s">
        <v>73</v>
      </c>
      <c r="I24" s="6" t="s">
        <v>74</v>
      </c>
      <c r="J24" s="7" t="s">
        <v>72</v>
      </c>
      <c r="K24" s="7"/>
      <c r="L24" s="8" t="s">
        <v>72</v>
      </c>
      <c r="M24" s="8"/>
      <c r="N24" s="9">
        <f>_xlfn.XLOOKUP(Tabla1[[#This Row],[IDMAIL]],Hoja3!B:B,Hoja3!G:G)</f>
        <v>2</v>
      </c>
    </row>
    <row r="25" spans="1:14" x14ac:dyDescent="0.35">
      <c r="A25" s="5">
        <v>24</v>
      </c>
      <c r="B25" s="6">
        <v>6506</v>
      </c>
      <c r="C25" s="6" t="s">
        <v>0</v>
      </c>
      <c r="D25" s="6"/>
      <c r="E25" s="6"/>
      <c r="F25" s="6" t="s">
        <v>1</v>
      </c>
      <c r="G25" s="6" t="s">
        <v>75</v>
      </c>
      <c r="H25" s="6" t="s">
        <v>76</v>
      </c>
      <c r="I25" s="6" t="s">
        <v>77</v>
      </c>
      <c r="J25" s="7" t="s">
        <v>75</v>
      </c>
      <c r="K25" s="7"/>
      <c r="L25" s="8" t="s">
        <v>75</v>
      </c>
      <c r="M25" s="8"/>
      <c r="N25" s="9">
        <f>_xlfn.XLOOKUP(Tabla1[[#This Row],[IDMAIL]],Hoja3!B:B,Hoja3!G:G)</f>
        <v>2</v>
      </c>
    </row>
    <row r="26" spans="1:14" x14ac:dyDescent="0.35">
      <c r="A26" s="5">
        <v>25</v>
      </c>
      <c r="B26" s="6">
        <v>6509</v>
      </c>
      <c r="C26" s="6" t="s">
        <v>0</v>
      </c>
      <c r="D26" s="6"/>
      <c r="E26" s="6"/>
      <c r="F26" s="6" t="s">
        <v>1</v>
      </c>
      <c r="G26" s="6" t="s">
        <v>78</v>
      </c>
      <c r="H26" s="6" t="s">
        <v>79</v>
      </c>
      <c r="I26" s="6" t="s">
        <v>80</v>
      </c>
      <c r="J26" s="7" t="s">
        <v>78</v>
      </c>
      <c r="K26" s="7"/>
      <c r="L26" s="8" t="s">
        <v>78</v>
      </c>
      <c r="M26" s="8"/>
      <c r="N26" s="9">
        <f>_xlfn.XLOOKUP(Tabla1[[#This Row],[IDMAIL]],Hoja3!B:B,Hoja3!G:G)</f>
        <v>2</v>
      </c>
    </row>
    <row r="27" spans="1:14" x14ac:dyDescent="0.35">
      <c r="A27" s="5">
        <v>26</v>
      </c>
      <c r="B27" s="6">
        <v>131</v>
      </c>
      <c r="C27" s="6" t="s">
        <v>0</v>
      </c>
      <c r="D27" s="6"/>
      <c r="E27" s="6"/>
      <c r="F27" s="6" t="s">
        <v>1</v>
      </c>
      <c r="G27" s="6" t="s">
        <v>81</v>
      </c>
      <c r="H27" s="6" t="s">
        <v>82</v>
      </c>
      <c r="I27" s="6" t="s">
        <v>83</v>
      </c>
      <c r="J27" s="7" t="s">
        <v>81</v>
      </c>
      <c r="K27" s="7"/>
      <c r="L27" s="8" t="s">
        <v>81</v>
      </c>
      <c r="M27" s="8"/>
      <c r="N27" s="9">
        <f>_xlfn.XLOOKUP(Tabla1[[#This Row],[IDMAIL]],Hoja3!B:B,Hoja3!G:G)</f>
        <v>2</v>
      </c>
    </row>
    <row r="28" spans="1:14" x14ac:dyDescent="0.35">
      <c r="A28" s="5">
        <v>27</v>
      </c>
      <c r="B28" s="6">
        <v>140</v>
      </c>
      <c r="C28" s="6" t="s">
        <v>84</v>
      </c>
      <c r="D28" s="6"/>
      <c r="E28" s="6"/>
      <c r="F28" s="6" t="s">
        <v>1</v>
      </c>
      <c r="G28" s="6" t="s">
        <v>84</v>
      </c>
      <c r="H28" s="6" t="s">
        <v>85</v>
      </c>
      <c r="I28" s="6" t="s">
        <v>86</v>
      </c>
      <c r="J28" s="7" t="s">
        <v>84</v>
      </c>
      <c r="K28" s="7"/>
      <c r="L28" s="8" t="s">
        <v>84</v>
      </c>
      <c r="M28" s="8"/>
      <c r="N28" s="9">
        <f>_xlfn.XLOOKUP(Tabla1[[#This Row],[IDMAIL]],Hoja3!B:B,Hoja3!G:G)</f>
        <v>2</v>
      </c>
    </row>
    <row r="29" spans="1:14" x14ac:dyDescent="0.35">
      <c r="A29" s="5">
        <v>28</v>
      </c>
      <c r="B29" s="6">
        <v>141</v>
      </c>
      <c r="C29" s="6" t="s">
        <v>87</v>
      </c>
      <c r="D29" s="6"/>
      <c r="E29" s="6"/>
      <c r="F29" s="6" t="s">
        <v>1</v>
      </c>
      <c r="G29" s="6" t="s">
        <v>87</v>
      </c>
      <c r="H29" s="6" t="s">
        <v>88</v>
      </c>
      <c r="I29" s="6" t="s">
        <v>89</v>
      </c>
      <c r="J29" s="7" t="s">
        <v>87</v>
      </c>
      <c r="K29" s="7"/>
      <c r="L29" s="8" t="s">
        <v>87</v>
      </c>
      <c r="M29" s="8"/>
      <c r="N29" s="9">
        <f>_xlfn.XLOOKUP(Tabla1[[#This Row],[IDMAIL]],Hoja3!B:B,Hoja3!G:G)</f>
        <v>2</v>
      </c>
    </row>
    <row r="30" spans="1:14" x14ac:dyDescent="0.35">
      <c r="A30" s="5">
        <v>29</v>
      </c>
      <c r="B30" s="6">
        <v>142</v>
      </c>
      <c r="C30" s="6" t="s">
        <v>90</v>
      </c>
      <c r="D30" s="6"/>
      <c r="E30" s="6"/>
      <c r="F30" s="6" t="s">
        <v>1</v>
      </c>
      <c r="G30" s="6" t="s">
        <v>90</v>
      </c>
      <c r="H30" s="6" t="s">
        <v>91</v>
      </c>
      <c r="I30" s="6" t="s">
        <v>92</v>
      </c>
      <c r="J30" s="7" t="s">
        <v>90</v>
      </c>
      <c r="K30" s="7"/>
      <c r="L30" s="8" t="s">
        <v>90</v>
      </c>
      <c r="M30" s="8"/>
      <c r="N30" s="9">
        <f>_xlfn.XLOOKUP(Tabla1[[#This Row],[IDMAIL]],Hoja3!B:B,Hoja3!G:G)</f>
        <v>2</v>
      </c>
    </row>
    <row r="31" spans="1:14" x14ac:dyDescent="0.35">
      <c r="A31" s="5">
        <v>30</v>
      </c>
      <c r="B31" s="6">
        <v>18</v>
      </c>
      <c r="C31" s="6" t="s">
        <v>18</v>
      </c>
      <c r="D31" s="6"/>
      <c r="E31" s="6"/>
      <c r="F31" s="6" t="s">
        <v>1</v>
      </c>
      <c r="G31" s="6" t="s">
        <v>65</v>
      </c>
      <c r="H31" s="6" t="s">
        <v>93</v>
      </c>
      <c r="I31" s="6" t="s">
        <v>94</v>
      </c>
      <c r="J31" s="7" t="s">
        <v>65</v>
      </c>
      <c r="K31" s="7"/>
      <c r="L31" s="8" t="s">
        <v>65</v>
      </c>
      <c r="M31" s="8"/>
      <c r="N31" s="9">
        <f>_xlfn.XLOOKUP(Tabla1[[#This Row],[IDMAIL]],Hoja3!B:B,Hoja3!G:G)</f>
        <v>3</v>
      </c>
    </row>
    <row r="32" spans="1:14" x14ac:dyDescent="0.35">
      <c r="A32" s="5">
        <v>31</v>
      </c>
      <c r="B32" s="6">
        <v>26</v>
      </c>
      <c r="C32" s="6" t="s">
        <v>18</v>
      </c>
      <c r="D32" s="6"/>
      <c r="E32" s="6"/>
      <c r="F32" s="6" t="s">
        <v>1</v>
      </c>
      <c r="G32" s="6" t="s">
        <v>95</v>
      </c>
      <c r="H32" s="6" t="s">
        <v>96</v>
      </c>
      <c r="I32" s="6" t="s">
        <v>97</v>
      </c>
      <c r="J32" s="7" t="s">
        <v>95</v>
      </c>
      <c r="K32" s="7"/>
      <c r="L32" s="8" t="s">
        <v>95</v>
      </c>
      <c r="M32" s="8"/>
      <c r="N32" s="9">
        <f>_xlfn.XLOOKUP(Tabla1[[#This Row],[IDMAIL]],Hoja3!B:B,Hoja3!G:G)</f>
        <v>3</v>
      </c>
    </row>
    <row r="33" spans="1:14" x14ac:dyDescent="0.35">
      <c r="A33" s="5">
        <v>32</v>
      </c>
      <c r="B33" s="6">
        <v>34</v>
      </c>
      <c r="C33" s="6" t="s">
        <v>18</v>
      </c>
      <c r="D33" s="6"/>
      <c r="E33" s="6"/>
      <c r="F33" s="6" t="s">
        <v>1</v>
      </c>
      <c r="G33" s="6" t="s">
        <v>98</v>
      </c>
      <c r="H33" s="6" t="s">
        <v>99</v>
      </c>
      <c r="I33" s="6" t="s">
        <v>100</v>
      </c>
      <c r="J33" s="7" t="s">
        <v>98</v>
      </c>
      <c r="K33" s="7"/>
      <c r="L33" s="8" t="s">
        <v>98</v>
      </c>
      <c r="M33" s="8"/>
      <c r="N33" s="9">
        <f>_xlfn.XLOOKUP(Tabla1[[#This Row],[IDMAIL]],Hoja3!B:B,Hoja3!G:G)</f>
        <v>3</v>
      </c>
    </row>
    <row r="34" spans="1:14" x14ac:dyDescent="0.35">
      <c r="A34" s="5">
        <v>33</v>
      </c>
      <c r="B34" s="6">
        <v>35</v>
      </c>
      <c r="C34" s="6" t="s">
        <v>18</v>
      </c>
      <c r="D34" s="6"/>
      <c r="E34" s="6"/>
      <c r="F34" s="6" t="s">
        <v>1</v>
      </c>
      <c r="G34" s="6" t="s">
        <v>101</v>
      </c>
      <c r="H34" s="6" t="s">
        <v>102</v>
      </c>
      <c r="I34" s="6" t="s">
        <v>103</v>
      </c>
      <c r="J34" s="7" t="s">
        <v>101</v>
      </c>
      <c r="K34" s="7"/>
      <c r="L34" s="8" t="s">
        <v>101</v>
      </c>
      <c r="M34" s="8"/>
      <c r="N34" s="9">
        <f>_xlfn.XLOOKUP(Tabla1[[#This Row],[IDMAIL]],Hoja3!B:B,Hoja3!G:G)</f>
        <v>3</v>
      </c>
    </row>
    <row r="35" spans="1:14" x14ac:dyDescent="0.35">
      <c r="A35" s="5">
        <v>34</v>
      </c>
      <c r="B35" s="6">
        <v>36</v>
      </c>
      <c r="C35" s="6" t="s">
        <v>18</v>
      </c>
      <c r="D35" s="6"/>
      <c r="E35" s="6"/>
      <c r="F35" s="6" t="s">
        <v>1</v>
      </c>
      <c r="G35" s="6" t="s">
        <v>104</v>
      </c>
      <c r="H35" s="6" t="s">
        <v>105</v>
      </c>
      <c r="I35" s="6" t="s">
        <v>106</v>
      </c>
      <c r="J35" s="7" t="s">
        <v>104</v>
      </c>
      <c r="K35" s="7"/>
      <c r="L35" s="8" t="s">
        <v>104</v>
      </c>
      <c r="M35" s="8"/>
      <c r="N35" s="9">
        <f>_xlfn.XLOOKUP(Tabla1[[#This Row],[IDMAIL]],Hoja3!B:B,Hoja3!G:G)</f>
        <v>3</v>
      </c>
    </row>
    <row r="36" spans="1:14" x14ac:dyDescent="0.35">
      <c r="A36" s="5">
        <v>35</v>
      </c>
      <c r="B36" s="6">
        <v>37</v>
      </c>
      <c r="C36" s="6" t="s">
        <v>18</v>
      </c>
      <c r="D36" s="6"/>
      <c r="E36" s="6"/>
      <c r="F36" s="6" t="s">
        <v>1</v>
      </c>
      <c r="G36" s="6" t="s">
        <v>107</v>
      </c>
      <c r="H36" s="6" t="s">
        <v>108</v>
      </c>
      <c r="I36" s="6" t="s">
        <v>109</v>
      </c>
      <c r="J36" s="7" t="s">
        <v>107</v>
      </c>
      <c r="K36" s="7"/>
      <c r="L36" s="8" t="s">
        <v>107</v>
      </c>
      <c r="M36" s="8"/>
      <c r="N36" s="9">
        <f>_xlfn.XLOOKUP(Tabla1[[#This Row],[IDMAIL]],Hoja3!B:B,Hoja3!G:G)</f>
        <v>3</v>
      </c>
    </row>
    <row r="37" spans="1:14" x14ac:dyDescent="0.35">
      <c r="A37" s="5">
        <v>36</v>
      </c>
      <c r="B37" s="6">
        <v>40</v>
      </c>
      <c r="C37" s="6" t="s">
        <v>18</v>
      </c>
      <c r="D37" s="6"/>
      <c r="E37" s="6"/>
      <c r="F37" s="6" t="s">
        <v>1</v>
      </c>
      <c r="G37" s="6" t="s">
        <v>110</v>
      </c>
      <c r="H37" s="6" t="s">
        <v>111</v>
      </c>
      <c r="I37" s="6" t="s">
        <v>112</v>
      </c>
      <c r="J37" s="7" t="s">
        <v>110</v>
      </c>
      <c r="K37" s="7"/>
      <c r="L37" s="8" t="s">
        <v>110</v>
      </c>
      <c r="M37" s="8"/>
      <c r="N37" s="9">
        <f>_xlfn.XLOOKUP(Tabla1[[#This Row],[IDMAIL]],Hoja3!B:B,Hoja3!G:G)</f>
        <v>3</v>
      </c>
    </row>
    <row r="38" spans="1:14" x14ac:dyDescent="0.35">
      <c r="A38" s="5">
        <v>37</v>
      </c>
      <c r="B38" s="6">
        <v>41</v>
      </c>
      <c r="C38" s="6" t="s">
        <v>18</v>
      </c>
      <c r="D38" s="6"/>
      <c r="E38" s="6"/>
      <c r="F38" s="6" t="s">
        <v>1</v>
      </c>
      <c r="G38" s="6" t="s">
        <v>113</v>
      </c>
      <c r="H38" s="6" t="s">
        <v>114</v>
      </c>
      <c r="I38" s="6" t="s">
        <v>115</v>
      </c>
      <c r="J38" s="7" t="s">
        <v>113</v>
      </c>
      <c r="K38" s="7"/>
      <c r="L38" s="8" t="s">
        <v>113</v>
      </c>
      <c r="M38" s="8"/>
      <c r="N38" s="9">
        <f>_xlfn.XLOOKUP(Tabla1[[#This Row],[IDMAIL]],Hoja3!B:B,Hoja3!G:G)</f>
        <v>3</v>
      </c>
    </row>
    <row r="39" spans="1:14" x14ac:dyDescent="0.35">
      <c r="A39" s="5">
        <v>38</v>
      </c>
      <c r="B39" s="6">
        <v>42</v>
      </c>
      <c r="C39" s="6" t="s">
        <v>18</v>
      </c>
      <c r="D39" s="6"/>
      <c r="E39" s="6"/>
      <c r="F39" s="6" t="s">
        <v>1</v>
      </c>
      <c r="G39" s="6" t="s">
        <v>116</v>
      </c>
      <c r="H39" s="6" t="s">
        <v>117</v>
      </c>
      <c r="I39" s="6" t="s">
        <v>118</v>
      </c>
      <c r="J39" s="7" t="s">
        <v>116</v>
      </c>
      <c r="K39" s="7"/>
      <c r="L39" s="8" t="s">
        <v>116</v>
      </c>
      <c r="M39" s="8"/>
      <c r="N39" s="9">
        <f>_xlfn.XLOOKUP(Tabla1[[#This Row],[IDMAIL]],Hoja3!B:B,Hoja3!G:G)</f>
        <v>3</v>
      </c>
    </row>
    <row r="40" spans="1:14" x14ac:dyDescent="0.35">
      <c r="A40" s="5">
        <v>39</v>
      </c>
      <c r="B40" s="6">
        <v>43</v>
      </c>
      <c r="C40" s="6" t="s">
        <v>18</v>
      </c>
      <c r="D40" s="6"/>
      <c r="E40" s="6"/>
      <c r="F40" s="6" t="s">
        <v>1</v>
      </c>
      <c r="G40" s="6" t="s">
        <v>119</v>
      </c>
      <c r="H40" s="6" t="s">
        <v>120</v>
      </c>
      <c r="I40" s="6" t="s">
        <v>121</v>
      </c>
      <c r="J40" s="7" t="s">
        <v>119</v>
      </c>
      <c r="K40" s="7"/>
      <c r="L40" s="8" t="s">
        <v>119</v>
      </c>
      <c r="M40" s="8"/>
      <c r="N40" s="9">
        <f>_xlfn.XLOOKUP(Tabla1[[#This Row],[IDMAIL]],Hoja3!B:B,Hoja3!G:G)</f>
        <v>3</v>
      </c>
    </row>
    <row r="41" spans="1:14" x14ac:dyDescent="0.35">
      <c r="A41" s="5">
        <v>40</v>
      </c>
      <c r="B41" s="6">
        <v>44</v>
      </c>
      <c r="C41" s="6" t="s">
        <v>18</v>
      </c>
      <c r="D41" s="6"/>
      <c r="E41" s="6"/>
      <c r="F41" s="6" t="s">
        <v>1</v>
      </c>
      <c r="G41" s="6" t="s">
        <v>122</v>
      </c>
      <c r="H41" s="6" t="s">
        <v>123</v>
      </c>
      <c r="I41" s="6" t="s">
        <v>124</v>
      </c>
      <c r="J41" s="7" t="s">
        <v>122</v>
      </c>
      <c r="K41" s="7"/>
      <c r="L41" s="8" t="s">
        <v>122</v>
      </c>
      <c r="M41" s="8"/>
      <c r="N41" s="9">
        <f>_xlfn.XLOOKUP(Tabla1[[#This Row],[IDMAIL]],Hoja3!B:B,Hoja3!G:G)</f>
        <v>3</v>
      </c>
    </row>
    <row r="42" spans="1:14" x14ac:dyDescent="0.35">
      <c r="A42" s="5">
        <v>41</v>
      </c>
      <c r="B42" s="6">
        <v>45</v>
      </c>
      <c r="C42" s="6" t="s">
        <v>18</v>
      </c>
      <c r="D42" s="6"/>
      <c r="E42" s="6"/>
      <c r="F42" s="6" t="s">
        <v>1</v>
      </c>
      <c r="G42" s="6" t="s">
        <v>125</v>
      </c>
      <c r="H42" s="6" t="s">
        <v>126</v>
      </c>
      <c r="I42" s="6" t="s">
        <v>127</v>
      </c>
      <c r="J42" s="7" t="s">
        <v>125</v>
      </c>
      <c r="K42" s="7"/>
      <c r="L42" s="8" t="s">
        <v>125</v>
      </c>
      <c r="M42" s="8"/>
      <c r="N42" s="9">
        <f>_xlfn.XLOOKUP(Tabla1[[#This Row],[IDMAIL]],Hoja3!B:B,Hoja3!G:G)</f>
        <v>3</v>
      </c>
    </row>
    <row r="43" spans="1:14" x14ac:dyDescent="0.35">
      <c r="A43" s="5">
        <v>42</v>
      </c>
      <c r="B43" s="6">
        <v>47</v>
      </c>
      <c r="C43" s="6" t="s">
        <v>18</v>
      </c>
      <c r="D43" s="6"/>
      <c r="E43" s="6"/>
      <c r="F43" s="6" t="s">
        <v>1</v>
      </c>
      <c r="G43" s="6" t="s">
        <v>128</v>
      </c>
      <c r="H43" s="6" t="s">
        <v>129</v>
      </c>
      <c r="I43" s="6" t="s">
        <v>130</v>
      </c>
      <c r="J43" s="7" t="s">
        <v>128</v>
      </c>
      <c r="K43" s="7"/>
      <c r="L43" s="8" t="s">
        <v>128</v>
      </c>
      <c r="M43" s="8"/>
      <c r="N43" s="9">
        <f>_xlfn.XLOOKUP(Tabla1[[#This Row],[IDMAIL]],Hoja3!B:B,Hoja3!G:G)</f>
        <v>3</v>
      </c>
    </row>
    <row r="44" spans="1:14" x14ac:dyDescent="0.35">
      <c r="A44" s="5">
        <v>43</v>
      </c>
      <c r="B44" s="6">
        <v>48</v>
      </c>
      <c r="C44" s="6" t="s">
        <v>18</v>
      </c>
      <c r="D44" s="6"/>
      <c r="E44" s="6"/>
      <c r="F44" s="6" t="s">
        <v>1</v>
      </c>
      <c r="G44" s="6" t="s">
        <v>131</v>
      </c>
      <c r="H44" s="6" t="s">
        <v>132</v>
      </c>
      <c r="I44" s="6" t="s">
        <v>133</v>
      </c>
      <c r="J44" s="7" t="s">
        <v>131</v>
      </c>
      <c r="K44" s="7"/>
      <c r="L44" s="8" t="s">
        <v>131</v>
      </c>
      <c r="M44" s="8"/>
      <c r="N44" s="9">
        <f>_xlfn.XLOOKUP(Tabla1[[#This Row],[IDMAIL]],Hoja3!B:B,Hoja3!G:G)</f>
        <v>3</v>
      </c>
    </row>
    <row r="45" spans="1:14" x14ac:dyDescent="0.35">
      <c r="A45" s="5">
        <v>44</v>
      </c>
      <c r="B45" s="6">
        <v>49</v>
      </c>
      <c r="C45" s="6" t="s">
        <v>18</v>
      </c>
      <c r="D45" s="6"/>
      <c r="E45" s="6"/>
      <c r="F45" s="6" t="s">
        <v>1</v>
      </c>
      <c r="G45" s="6" t="s">
        <v>134</v>
      </c>
      <c r="H45" s="6" t="s">
        <v>135</v>
      </c>
      <c r="I45" s="6" t="s">
        <v>136</v>
      </c>
      <c r="J45" s="7" t="s">
        <v>134</v>
      </c>
      <c r="K45" s="7"/>
      <c r="L45" s="8" t="s">
        <v>134</v>
      </c>
      <c r="M45" s="8"/>
      <c r="N45" s="9">
        <f>_xlfn.XLOOKUP(Tabla1[[#This Row],[IDMAIL]],Hoja3!B:B,Hoja3!G:G)</f>
        <v>3</v>
      </c>
    </row>
    <row r="46" spans="1:14" x14ac:dyDescent="0.35">
      <c r="A46" s="5">
        <v>45</v>
      </c>
      <c r="B46" s="6">
        <v>50</v>
      </c>
      <c r="C46" s="6" t="s">
        <v>18</v>
      </c>
      <c r="D46" s="6"/>
      <c r="E46" s="6"/>
      <c r="F46" s="6" t="s">
        <v>1</v>
      </c>
      <c r="G46" s="6" t="s">
        <v>137</v>
      </c>
      <c r="H46" s="6" t="s">
        <v>138</v>
      </c>
      <c r="I46" s="6" t="s">
        <v>139</v>
      </c>
      <c r="J46" s="7" t="s">
        <v>137</v>
      </c>
      <c r="K46" s="7"/>
      <c r="L46" s="8" t="s">
        <v>137</v>
      </c>
      <c r="M46" s="8"/>
      <c r="N46" s="9">
        <f>_xlfn.XLOOKUP(Tabla1[[#This Row],[IDMAIL]],Hoja3!B:B,Hoja3!G:G)</f>
        <v>4</v>
      </c>
    </row>
    <row r="47" spans="1:14" x14ac:dyDescent="0.35">
      <c r="A47" s="5">
        <v>46</v>
      </c>
      <c r="B47" s="6">
        <v>51</v>
      </c>
      <c r="C47" s="6" t="s">
        <v>0</v>
      </c>
      <c r="D47" s="6"/>
      <c r="E47" s="6"/>
      <c r="F47" s="6" t="s">
        <v>1</v>
      </c>
      <c r="G47" s="6" t="s">
        <v>140</v>
      </c>
      <c r="H47" s="6" t="s">
        <v>141</v>
      </c>
      <c r="I47" s="6" t="s">
        <v>140</v>
      </c>
      <c r="J47" s="7" t="s">
        <v>140</v>
      </c>
      <c r="K47" s="7"/>
      <c r="L47" s="8" t="s">
        <v>140</v>
      </c>
      <c r="M47" s="8"/>
      <c r="N47" s="9">
        <f>_xlfn.XLOOKUP(Tabla1[[#This Row],[IDMAIL]],Hoja3!B:B,Hoja3!G:G)</f>
        <v>4</v>
      </c>
    </row>
    <row r="48" spans="1:14" x14ac:dyDescent="0.35">
      <c r="A48" s="5">
        <v>47</v>
      </c>
      <c r="B48" s="6">
        <v>78</v>
      </c>
      <c r="C48" s="6" t="s">
        <v>18</v>
      </c>
      <c r="D48" s="6"/>
      <c r="E48" s="6"/>
      <c r="F48" s="6" t="s">
        <v>1</v>
      </c>
      <c r="G48" s="6" t="s">
        <v>142</v>
      </c>
      <c r="H48" s="6" t="s">
        <v>143</v>
      </c>
      <c r="I48" s="6" t="s">
        <v>144</v>
      </c>
      <c r="J48" s="7" t="s">
        <v>142</v>
      </c>
      <c r="K48" s="7"/>
      <c r="L48" s="8" t="s">
        <v>142</v>
      </c>
      <c r="M48" s="8"/>
      <c r="N48" s="9">
        <f>_xlfn.XLOOKUP(Tabla1[[#This Row],[IDMAIL]],Hoja3!B:B,Hoja3!G:G)</f>
        <v>4</v>
      </c>
    </row>
    <row r="49" spans="1:14" x14ac:dyDescent="0.35">
      <c r="A49" s="5">
        <v>48</v>
      </c>
      <c r="B49" s="6">
        <v>92</v>
      </c>
      <c r="C49" s="6" t="s">
        <v>18</v>
      </c>
      <c r="D49" s="6"/>
      <c r="E49" s="6"/>
      <c r="F49" s="6" t="s">
        <v>1</v>
      </c>
      <c r="G49" s="6" t="s">
        <v>145</v>
      </c>
      <c r="H49" s="6" t="s">
        <v>146</v>
      </c>
      <c r="I49" s="6" t="s">
        <v>147</v>
      </c>
      <c r="J49" s="7" t="s">
        <v>145</v>
      </c>
      <c r="K49" s="7"/>
      <c r="L49" s="8" t="s">
        <v>145</v>
      </c>
      <c r="M49" s="8"/>
      <c r="N49" s="9">
        <f>_xlfn.XLOOKUP(Tabla1[[#This Row],[IDMAIL]],Hoja3!B:B,Hoja3!G:G)</f>
        <v>4</v>
      </c>
    </row>
    <row r="50" spans="1:14" x14ac:dyDescent="0.35">
      <c r="A50" s="5">
        <v>49</v>
      </c>
      <c r="B50" s="6">
        <v>52</v>
      </c>
      <c r="C50" s="6" t="s">
        <v>18</v>
      </c>
      <c r="D50" s="6"/>
      <c r="E50" s="6"/>
      <c r="F50" s="6" t="s">
        <v>1</v>
      </c>
      <c r="G50" s="6" t="s">
        <v>148</v>
      </c>
      <c r="H50" s="6" t="s">
        <v>149</v>
      </c>
      <c r="I50" s="6" t="s">
        <v>150</v>
      </c>
      <c r="J50" s="7" t="s">
        <v>148</v>
      </c>
      <c r="K50" s="7"/>
      <c r="L50" s="8" t="s">
        <v>148</v>
      </c>
      <c r="M50" s="8"/>
      <c r="N50" s="9">
        <f>_xlfn.XLOOKUP(Tabla1[[#This Row],[IDMAIL]],Hoja3!B:B,Hoja3!G:G)</f>
        <v>4</v>
      </c>
    </row>
    <row r="51" spans="1:14" x14ac:dyDescent="0.35">
      <c r="A51" s="5">
        <v>50</v>
      </c>
      <c r="B51" s="6">
        <v>60</v>
      </c>
      <c r="C51" s="6" t="s">
        <v>18</v>
      </c>
      <c r="D51" s="6"/>
      <c r="E51" s="6"/>
      <c r="F51" s="6" t="s">
        <v>1</v>
      </c>
      <c r="G51" s="6" t="s">
        <v>151</v>
      </c>
      <c r="H51" s="6" t="s">
        <v>152</v>
      </c>
      <c r="I51" s="6" t="s">
        <v>153</v>
      </c>
      <c r="J51" s="7" t="s">
        <v>151</v>
      </c>
      <c r="K51" s="7"/>
      <c r="L51" s="8" t="s">
        <v>151</v>
      </c>
      <c r="M51" s="8"/>
      <c r="N51" s="9">
        <f>_xlfn.XLOOKUP(Tabla1[[#This Row],[IDMAIL]],Hoja3!B:B,Hoja3!G:G)</f>
        <v>4</v>
      </c>
    </row>
    <row r="52" spans="1:14" x14ac:dyDescent="0.35">
      <c r="A52" s="5">
        <v>51</v>
      </c>
      <c r="B52" s="6">
        <v>65</v>
      </c>
      <c r="C52" s="6" t="s">
        <v>18</v>
      </c>
      <c r="D52" s="6"/>
      <c r="E52" s="6"/>
      <c r="F52" s="6" t="s">
        <v>1</v>
      </c>
      <c r="G52" s="6" t="s">
        <v>154</v>
      </c>
      <c r="H52" s="6" t="s">
        <v>155</v>
      </c>
      <c r="I52" s="6" t="s">
        <v>156</v>
      </c>
      <c r="J52" s="7" t="s">
        <v>154</v>
      </c>
      <c r="K52" s="7"/>
      <c r="L52" s="8" t="s">
        <v>154</v>
      </c>
      <c r="M52" s="8"/>
      <c r="N52" s="9">
        <f>_xlfn.XLOOKUP(Tabla1[[#This Row],[IDMAIL]],Hoja3!B:B,Hoja3!G:G)</f>
        <v>4</v>
      </c>
    </row>
    <row r="53" spans="1:14" x14ac:dyDescent="0.35">
      <c r="A53" s="5">
        <v>52</v>
      </c>
      <c r="B53" s="6">
        <v>66</v>
      </c>
      <c r="C53" s="6" t="s">
        <v>18</v>
      </c>
      <c r="D53" s="6"/>
      <c r="E53" s="6"/>
      <c r="F53" s="6" t="s">
        <v>1</v>
      </c>
      <c r="G53" s="6" t="s">
        <v>157</v>
      </c>
      <c r="H53" s="6" t="s">
        <v>158</v>
      </c>
      <c r="I53" s="6" t="s">
        <v>159</v>
      </c>
      <c r="J53" s="7" t="s">
        <v>157</v>
      </c>
      <c r="K53" s="7"/>
      <c r="L53" s="8" t="s">
        <v>157</v>
      </c>
      <c r="M53" s="8"/>
      <c r="N53" s="9">
        <f>_xlfn.XLOOKUP(Tabla1[[#This Row],[IDMAIL]],Hoja3!B:B,Hoja3!G:G)</f>
        <v>4</v>
      </c>
    </row>
    <row r="54" spans="1:14" x14ac:dyDescent="0.35">
      <c r="A54" s="5">
        <v>53</v>
      </c>
      <c r="B54" s="6">
        <v>67</v>
      </c>
      <c r="C54" s="6" t="s">
        <v>18</v>
      </c>
      <c r="D54" s="6"/>
      <c r="E54" s="6"/>
      <c r="F54" s="6" t="s">
        <v>1</v>
      </c>
      <c r="G54" s="6" t="s">
        <v>160</v>
      </c>
      <c r="H54" s="6" t="s">
        <v>161</v>
      </c>
      <c r="I54" s="6" t="s">
        <v>162</v>
      </c>
      <c r="J54" s="7" t="s">
        <v>160</v>
      </c>
      <c r="K54" s="7"/>
      <c r="L54" s="8" t="s">
        <v>160</v>
      </c>
      <c r="M54" s="8"/>
      <c r="N54" s="9">
        <f>_xlfn.XLOOKUP(Tabla1[[#This Row],[IDMAIL]],Hoja3!B:B,Hoja3!G:G)</f>
        <v>4</v>
      </c>
    </row>
    <row r="55" spans="1:14" x14ac:dyDescent="0.35">
      <c r="A55" s="5">
        <v>54</v>
      </c>
      <c r="B55" s="6">
        <v>61</v>
      </c>
      <c r="C55" s="6" t="s">
        <v>18</v>
      </c>
      <c r="D55" s="6"/>
      <c r="E55" s="6"/>
      <c r="F55" s="6" t="s">
        <v>1</v>
      </c>
      <c r="G55" s="6" t="s">
        <v>163</v>
      </c>
      <c r="H55" s="6" t="s">
        <v>164</v>
      </c>
      <c r="I55" s="6" t="s">
        <v>165</v>
      </c>
      <c r="J55" s="7" t="s">
        <v>163</v>
      </c>
      <c r="K55" s="7"/>
      <c r="L55" s="8" t="s">
        <v>163</v>
      </c>
      <c r="M55" s="8"/>
      <c r="N55" s="9">
        <f>_xlfn.XLOOKUP(Tabla1[[#This Row],[IDMAIL]],Hoja3!B:B,Hoja3!G:G)</f>
        <v>4</v>
      </c>
    </row>
    <row r="56" spans="1:14" x14ac:dyDescent="0.35">
      <c r="A56" s="5">
        <v>55</v>
      </c>
      <c r="B56" s="6">
        <v>62</v>
      </c>
      <c r="C56" s="6" t="s">
        <v>18</v>
      </c>
      <c r="D56" s="6"/>
      <c r="E56" s="6"/>
      <c r="F56" s="6" t="s">
        <v>1</v>
      </c>
      <c r="G56" s="6" t="s">
        <v>166</v>
      </c>
      <c r="H56" s="6" t="s">
        <v>167</v>
      </c>
      <c r="I56" s="6" t="s">
        <v>168</v>
      </c>
      <c r="J56" s="7" t="s">
        <v>166</v>
      </c>
      <c r="K56" s="7"/>
      <c r="L56" s="8" t="s">
        <v>166</v>
      </c>
      <c r="M56" s="8"/>
      <c r="N56" s="9">
        <f>_xlfn.XLOOKUP(Tabla1[[#This Row],[IDMAIL]],Hoja3!B:B,Hoja3!G:G)</f>
        <v>4</v>
      </c>
    </row>
    <row r="57" spans="1:14" x14ac:dyDescent="0.35">
      <c r="A57" s="5">
        <v>56</v>
      </c>
      <c r="B57" s="6">
        <v>63</v>
      </c>
      <c r="C57" s="6" t="s">
        <v>18</v>
      </c>
      <c r="D57" s="6"/>
      <c r="E57" s="6"/>
      <c r="F57" s="6" t="s">
        <v>1</v>
      </c>
      <c r="G57" s="6" t="s">
        <v>169</v>
      </c>
      <c r="H57" s="6" t="s">
        <v>170</v>
      </c>
      <c r="I57" s="6" t="s">
        <v>171</v>
      </c>
      <c r="J57" s="7" t="s">
        <v>169</v>
      </c>
      <c r="K57" s="7"/>
      <c r="L57" s="8" t="s">
        <v>169</v>
      </c>
      <c r="M57" s="8"/>
      <c r="N57" s="9">
        <f>_xlfn.XLOOKUP(Tabla1[[#This Row],[IDMAIL]],Hoja3!B:B,Hoja3!G:G)</f>
        <v>4</v>
      </c>
    </row>
    <row r="58" spans="1:14" x14ac:dyDescent="0.35">
      <c r="A58" s="5">
        <v>57</v>
      </c>
      <c r="B58" s="6">
        <v>64</v>
      </c>
      <c r="C58" s="6" t="s">
        <v>18</v>
      </c>
      <c r="D58" s="6"/>
      <c r="E58" s="6"/>
      <c r="F58" s="6" t="s">
        <v>1</v>
      </c>
      <c r="G58" s="6" t="s">
        <v>172</v>
      </c>
      <c r="H58" s="6" t="s">
        <v>173</v>
      </c>
      <c r="I58" s="6" t="s">
        <v>174</v>
      </c>
      <c r="J58" s="7" t="s">
        <v>172</v>
      </c>
      <c r="K58" s="7"/>
      <c r="L58" s="8" t="s">
        <v>172</v>
      </c>
      <c r="M58" s="8"/>
      <c r="N58" s="9">
        <f>_xlfn.XLOOKUP(Tabla1[[#This Row],[IDMAIL]],Hoja3!B:B,Hoja3!G:G)</f>
        <v>4</v>
      </c>
    </row>
    <row r="59" spans="1:14" x14ac:dyDescent="0.35">
      <c r="A59" s="5">
        <v>58</v>
      </c>
      <c r="B59" s="6">
        <v>77</v>
      </c>
      <c r="C59" s="6" t="s">
        <v>0</v>
      </c>
      <c r="D59" s="6"/>
      <c r="E59" s="6"/>
      <c r="F59" s="6" t="s">
        <v>1</v>
      </c>
      <c r="G59" s="6" t="s">
        <v>175</v>
      </c>
      <c r="H59" s="6" t="s">
        <v>176</v>
      </c>
      <c r="I59" s="6" t="s">
        <v>177</v>
      </c>
      <c r="J59" s="7" t="s">
        <v>175</v>
      </c>
      <c r="K59" s="7"/>
      <c r="L59" s="8" t="s">
        <v>175</v>
      </c>
      <c r="M59" s="8"/>
      <c r="N59" s="9">
        <f>_xlfn.XLOOKUP(Tabla1[[#This Row],[IDMAIL]],Hoja3!B:B,Hoja3!G:G)</f>
        <v>4</v>
      </c>
    </row>
    <row r="60" spans="1:14" x14ac:dyDescent="0.35">
      <c r="A60" s="5">
        <v>59</v>
      </c>
      <c r="B60" s="6">
        <v>79</v>
      </c>
      <c r="C60" s="6" t="s">
        <v>18</v>
      </c>
      <c r="D60" s="6"/>
      <c r="E60" s="6"/>
      <c r="F60" s="6" t="s">
        <v>1</v>
      </c>
      <c r="G60" s="6" t="s">
        <v>178</v>
      </c>
      <c r="H60" s="6" t="s">
        <v>179</v>
      </c>
      <c r="I60" s="6" t="s">
        <v>180</v>
      </c>
      <c r="J60" s="7" t="s">
        <v>178</v>
      </c>
      <c r="K60" s="7"/>
      <c r="L60" s="8" t="s">
        <v>178</v>
      </c>
      <c r="M60" s="8"/>
      <c r="N60" s="9">
        <f>_xlfn.XLOOKUP(Tabla1[[#This Row],[IDMAIL]],Hoja3!B:B,Hoja3!G:G)</f>
        <v>4</v>
      </c>
    </row>
    <row r="61" spans="1:14" x14ac:dyDescent="0.35">
      <c r="A61" s="5">
        <v>60</v>
      </c>
      <c r="B61" s="6">
        <v>80</v>
      </c>
      <c r="C61" s="6" t="s">
        <v>18</v>
      </c>
      <c r="D61" s="6"/>
      <c r="E61" s="6"/>
      <c r="F61" s="6" t="s">
        <v>1</v>
      </c>
      <c r="G61" s="6" t="s">
        <v>181</v>
      </c>
      <c r="H61" s="6" t="s">
        <v>182</v>
      </c>
      <c r="I61" s="6" t="s">
        <v>168</v>
      </c>
      <c r="J61" s="7" t="s">
        <v>181</v>
      </c>
      <c r="K61" s="7"/>
      <c r="L61" s="8" t="s">
        <v>181</v>
      </c>
      <c r="M61" s="8"/>
      <c r="N61" s="9">
        <f>_xlfn.XLOOKUP(Tabla1[[#This Row],[IDMAIL]],Hoja3!B:B,Hoja3!G:G)</f>
        <v>5</v>
      </c>
    </row>
    <row r="62" spans="1:14" x14ac:dyDescent="0.35">
      <c r="A62" s="5">
        <v>61</v>
      </c>
      <c r="B62" s="6">
        <v>82</v>
      </c>
      <c r="C62" s="6" t="s">
        <v>18</v>
      </c>
      <c r="D62" s="6"/>
      <c r="E62" s="6"/>
      <c r="F62" s="6" t="s">
        <v>1</v>
      </c>
      <c r="G62" s="6" t="s">
        <v>183</v>
      </c>
      <c r="H62" s="6" t="s">
        <v>184</v>
      </c>
      <c r="I62" s="6" t="s">
        <v>185</v>
      </c>
      <c r="J62" s="7" t="s">
        <v>183</v>
      </c>
      <c r="K62" s="7"/>
      <c r="L62" s="8" t="s">
        <v>183</v>
      </c>
      <c r="M62" s="8"/>
      <c r="N62" s="9">
        <f>_xlfn.XLOOKUP(Tabla1[[#This Row],[IDMAIL]],Hoja3!B:B,Hoja3!G:G)</f>
        <v>5</v>
      </c>
    </row>
    <row r="63" spans="1:14" x14ac:dyDescent="0.35">
      <c r="A63" s="5">
        <v>62</v>
      </c>
      <c r="B63" s="6">
        <v>81</v>
      </c>
      <c r="C63" s="6" t="s">
        <v>18</v>
      </c>
      <c r="D63" s="6"/>
      <c r="E63" s="6"/>
      <c r="F63" s="6" t="s">
        <v>1</v>
      </c>
      <c r="G63" s="6" t="s">
        <v>186</v>
      </c>
      <c r="H63" s="6" t="s">
        <v>187</v>
      </c>
      <c r="I63" s="6" t="s">
        <v>188</v>
      </c>
      <c r="J63" s="7" t="s">
        <v>186</v>
      </c>
      <c r="K63" s="7"/>
      <c r="L63" s="8" t="s">
        <v>186</v>
      </c>
      <c r="M63" s="8"/>
      <c r="N63" s="9">
        <f>_xlfn.XLOOKUP(Tabla1[[#This Row],[IDMAIL]],Hoja3!B:B,Hoja3!G:G)</f>
        <v>5</v>
      </c>
    </row>
    <row r="64" spans="1:14" x14ac:dyDescent="0.35">
      <c r="A64" s="5">
        <v>63</v>
      </c>
      <c r="B64" s="6">
        <v>46</v>
      </c>
      <c r="C64" s="6" t="s">
        <v>18</v>
      </c>
      <c r="D64" s="6"/>
      <c r="E64" s="6"/>
      <c r="F64" s="6" t="s">
        <v>1</v>
      </c>
      <c r="G64" s="6" t="s">
        <v>189</v>
      </c>
      <c r="H64" s="6" t="s">
        <v>190</v>
      </c>
      <c r="I64" s="6" t="s">
        <v>191</v>
      </c>
      <c r="J64" s="7" t="s">
        <v>189</v>
      </c>
      <c r="K64" s="7"/>
      <c r="L64" s="8" t="s">
        <v>189</v>
      </c>
      <c r="M64" s="8"/>
      <c r="N64" s="9">
        <f>_xlfn.XLOOKUP(Tabla1[[#This Row],[IDMAIL]],Hoja3!B:B,Hoja3!G:G)</f>
        <v>5</v>
      </c>
    </row>
    <row r="65" spans="1:14" x14ac:dyDescent="0.35">
      <c r="A65" s="5">
        <v>64</v>
      </c>
      <c r="B65" s="6">
        <v>39</v>
      </c>
      <c r="C65" s="6" t="s">
        <v>18</v>
      </c>
      <c r="D65" s="6"/>
      <c r="E65" s="6"/>
      <c r="F65" s="6" t="s">
        <v>1</v>
      </c>
      <c r="G65" s="6" t="s">
        <v>192</v>
      </c>
      <c r="H65" s="6" t="s">
        <v>193</v>
      </c>
      <c r="I65" s="6" t="s">
        <v>194</v>
      </c>
      <c r="J65" s="7" t="s">
        <v>192</v>
      </c>
      <c r="K65" s="7"/>
      <c r="L65" s="8" t="s">
        <v>192</v>
      </c>
      <c r="M65" s="8"/>
      <c r="N65" s="9">
        <f>_xlfn.XLOOKUP(Tabla1[[#This Row],[IDMAIL]],Hoja3!B:B,Hoja3!G:G)</f>
        <v>5</v>
      </c>
    </row>
    <row r="66" spans="1:14" x14ac:dyDescent="0.35">
      <c r="A66" s="5">
        <v>65</v>
      </c>
      <c r="B66" s="6">
        <v>81</v>
      </c>
      <c r="C66" s="6" t="s">
        <v>18</v>
      </c>
      <c r="D66" s="6"/>
      <c r="E66" s="6"/>
      <c r="F66" s="6" t="s">
        <v>1</v>
      </c>
      <c r="G66" s="6" t="s">
        <v>186</v>
      </c>
      <c r="H66" s="6" t="s">
        <v>187</v>
      </c>
      <c r="I66" s="6" t="s">
        <v>188</v>
      </c>
      <c r="J66" s="7" t="s">
        <v>186</v>
      </c>
      <c r="K66" s="7"/>
      <c r="L66" s="8" t="s">
        <v>186</v>
      </c>
      <c r="M66" s="8"/>
      <c r="N66" s="9">
        <f>_xlfn.XLOOKUP(Tabla1[[#This Row],[IDMAIL]],Hoja3!B:B,Hoja3!G:G)</f>
        <v>5</v>
      </c>
    </row>
    <row r="67" spans="1:14" x14ac:dyDescent="0.35">
      <c r="A67" s="5">
        <v>66</v>
      </c>
      <c r="B67" s="6">
        <v>83</v>
      </c>
      <c r="C67" s="6" t="s">
        <v>18</v>
      </c>
      <c r="D67" s="6"/>
      <c r="E67" s="6"/>
      <c r="F67" s="6" t="s">
        <v>1</v>
      </c>
      <c r="G67" s="6" t="s">
        <v>195</v>
      </c>
      <c r="H67" s="6" t="s">
        <v>196</v>
      </c>
      <c r="I67" s="6" t="s">
        <v>195</v>
      </c>
      <c r="J67" s="7" t="s">
        <v>195</v>
      </c>
      <c r="K67" s="7"/>
      <c r="L67" s="8" t="s">
        <v>195</v>
      </c>
      <c r="M67" s="8"/>
      <c r="N67" s="9">
        <f>_xlfn.XLOOKUP(Tabla1[[#This Row],[IDMAIL]],Hoja3!B:B,Hoja3!G:G)</f>
        <v>5</v>
      </c>
    </row>
    <row r="68" spans="1:14" x14ac:dyDescent="0.35">
      <c r="A68" s="5">
        <v>67</v>
      </c>
      <c r="B68" s="6">
        <v>84</v>
      </c>
      <c r="C68" s="6" t="s">
        <v>18</v>
      </c>
      <c r="D68" s="6"/>
      <c r="E68" s="6"/>
      <c r="F68" s="6" t="s">
        <v>1</v>
      </c>
      <c r="G68" s="6" t="s">
        <v>197</v>
      </c>
      <c r="H68" s="6" t="s">
        <v>198</v>
      </c>
      <c r="I68" s="6" t="s">
        <v>199</v>
      </c>
      <c r="J68" s="7" t="s">
        <v>197</v>
      </c>
      <c r="K68" s="7"/>
      <c r="L68" s="8" t="s">
        <v>197</v>
      </c>
      <c r="M68" s="8"/>
      <c r="N68" s="9">
        <f>_xlfn.XLOOKUP(Tabla1[[#This Row],[IDMAIL]],Hoja3!B:B,Hoja3!G:G)</f>
        <v>5</v>
      </c>
    </row>
    <row r="69" spans="1:14" x14ac:dyDescent="0.35">
      <c r="A69" s="5">
        <v>68</v>
      </c>
      <c r="B69" s="6">
        <v>85</v>
      </c>
      <c r="C69" s="6" t="s">
        <v>18</v>
      </c>
      <c r="D69" s="6"/>
      <c r="E69" s="6"/>
      <c r="F69" s="6" t="s">
        <v>1</v>
      </c>
      <c r="G69" s="6" t="s">
        <v>200</v>
      </c>
      <c r="H69" s="6" t="s">
        <v>201</v>
      </c>
      <c r="I69" s="6" t="s">
        <v>202</v>
      </c>
      <c r="J69" s="7" t="s">
        <v>200</v>
      </c>
      <c r="K69" s="7"/>
      <c r="L69" s="8" t="s">
        <v>200</v>
      </c>
      <c r="M69" s="8"/>
      <c r="N69" s="9">
        <f>_xlfn.XLOOKUP(Tabla1[[#This Row],[IDMAIL]],Hoja3!B:B,Hoja3!G:G)</f>
        <v>5</v>
      </c>
    </row>
    <row r="70" spans="1:14" x14ac:dyDescent="0.35">
      <c r="A70" s="5">
        <v>69</v>
      </c>
      <c r="B70" s="6">
        <v>86</v>
      </c>
      <c r="C70" s="6" t="s">
        <v>18</v>
      </c>
      <c r="D70" s="6"/>
      <c r="E70" s="6"/>
      <c r="F70" s="6" t="s">
        <v>1</v>
      </c>
      <c r="G70" s="6" t="s">
        <v>203</v>
      </c>
      <c r="H70" s="6" t="s">
        <v>204</v>
      </c>
      <c r="I70" s="6" t="s">
        <v>205</v>
      </c>
      <c r="J70" s="7" t="s">
        <v>203</v>
      </c>
      <c r="K70" s="7"/>
      <c r="L70" s="8" t="s">
        <v>203</v>
      </c>
      <c r="M70" s="8"/>
      <c r="N70" s="9">
        <f>_xlfn.XLOOKUP(Tabla1[[#This Row],[IDMAIL]],Hoja3!B:B,Hoja3!G:G)</f>
        <v>5</v>
      </c>
    </row>
    <row r="71" spans="1:14" x14ac:dyDescent="0.35">
      <c r="A71" s="5">
        <v>70</v>
      </c>
      <c r="B71" s="6">
        <v>87</v>
      </c>
      <c r="C71" s="6" t="s">
        <v>18</v>
      </c>
      <c r="D71" s="6"/>
      <c r="E71" s="6"/>
      <c r="F71" s="6" t="s">
        <v>1</v>
      </c>
      <c r="G71" s="6" t="s">
        <v>206</v>
      </c>
      <c r="H71" s="6" t="s">
        <v>207</v>
      </c>
      <c r="I71" s="6" t="s">
        <v>208</v>
      </c>
      <c r="J71" s="7" t="s">
        <v>206</v>
      </c>
      <c r="K71" s="7"/>
      <c r="L71" s="8" t="s">
        <v>206</v>
      </c>
      <c r="M71" s="8"/>
      <c r="N71" s="9">
        <f>_xlfn.XLOOKUP(Tabla1[[#This Row],[IDMAIL]],Hoja3!B:B,Hoja3!G:G)</f>
        <v>5</v>
      </c>
    </row>
    <row r="72" spans="1:14" x14ac:dyDescent="0.35">
      <c r="A72" s="5">
        <v>71</v>
      </c>
      <c r="B72" s="6">
        <v>88</v>
      </c>
      <c r="C72" s="6" t="s">
        <v>18</v>
      </c>
      <c r="D72" s="6"/>
      <c r="E72" s="6"/>
      <c r="F72" s="6" t="s">
        <v>1</v>
      </c>
      <c r="G72" s="6" t="s">
        <v>209</v>
      </c>
      <c r="H72" s="6" t="s">
        <v>210</v>
      </c>
      <c r="I72" s="6" t="s">
        <v>211</v>
      </c>
      <c r="J72" s="7" t="s">
        <v>209</v>
      </c>
      <c r="K72" s="7"/>
      <c r="L72" s="8" t="s">
        <v>209</v>
      </c>
      <c r="M72" s="8"/>
      <c r="N72" s="9">
        <f>_xlfn.XLOOKUP(Tabla1[[#This Row],[IDMAIL]],Hoja3!B:B,Hoja3!G:G)</f>
        <v>5</v>
      </c>
    </row>
    <row r="73" spans="1:14" x14ac:dyDescent="0.35">
      <c r="A73" s="5">
        <v>72</v>
      </c>
      <c r="B73" s="6">
        <v>83</v>
      </c>
      <c r="C73" s="6" t="s">
        <v>18</v>
      </c>
      <c r="D73" s="6"/>
      <c r="E73" s="6"/>
      <c r="F73" s="6" t="s">
        <v>1</v>
      </c>
      <c r="G73" s="6" t="s">
        <v>195</v>
      </c>
      <c r="H73" s="6" t="s">
        <v>196</v>
      </c>
      <c r="I73" s="6" t="s">
        <v>195</v>
      </c>
      <c r="J73" s="7" t="s">
        <v>195</v>
      </c>
      <c r="K73" s="7"/>
      <c r="L73" s="8" t="s">
        <v>195</v>
      </c>
      <c r="M73" s="8"/>
      <c r="N73" s="9">
        <f>_xlfn.XLOOKUP(Tabla1[[#This Row],[IDMAIL]],Hoja3!B:B,Hoja3!G:G)</f>
        <v>5</v>
      </c>
    </row>
    <row r="74" spans="1:14" x14ac:dyDescent="0.35">
      <c r="A74" s="5">
        <v>73</v>
      </c>
      <c r="B74" s="6">
        <v>90</v>
      </c>
      <c r="C74" s="6" t="s">
        <v>18</v>
      </c>
      <c r="D74" s="6"/>
      <c r="E74" s="6"/>
      <c r="F74" s="6" t="s">
        <v>212</v>
      </c>
      <c r="G74" s="6" t="s">
        <v>213</v>
      </c>
      <c r="H74" s="6" t="s">
        <v>214</v>
      </c>
      <c r="I74" s="6" t="s">
        <v>215</v>
      </c>
      <c r="J74" s="7" t="s">
        <v>213</v>
      </c>
      <c r="K74" s="7"/>
      <c r="L74" s="8" t="s">
        <v>213</v>
      </c>
      <c r="M74" s="8"/>
      <c r="N74" s="9">
        <f>_xlfn.XLOOKUP(Tabla1[[#This Row],[IDMAIL]],Hoja3!B:B,Hoja3!G:G)</f>
        <v>5</v>
      </c>
    </row>
    <row r="75" spans="1:14" x14ac:dyDescent="0.35">
      <c r="A75" s="5">
        <v>74</v>
      </c>
      <c r="B75" s="6">
        <v>93</v>
      </c>
      <c r="C75" s="6" t="s">
        <v>18</v>
      </c>
      <c r="D75" s="6"/>
      <c r="E75" s="6"/>
      <c r="F75" s="6" t="s">
        <v>1</v>
      </c>
      <c r="G75" s="6" t="s">
        <v>216</v>
      </c>
      <c r="H75" s="6" t="s">
        <v>217</v>
      </c>
      <c r="I75" s="6" t="s">
        <v>218</v>
      </c>
      <c r="J75" s="7" t="s">
        <v>216</v>
      </c>
      <c r="K75" s="7"/>
      <c r="L75" s="8" t="s">
        <v>216</v>
      </c>
      <c r="M75" s="8"/>
      <c r="N75" s="9">
        <f>_xlfn.XLOOKUP(Tabla1[[#This Row],[IDMAIL]],Hoja3!B:B,Hoja3!G:G)</f>
        <v>5</v>
      </c>
    </row>
    <row r="76" spans="1:14" x14ac:dyDescent="0.35">
      <c r="A76" s="5">
        <v>75</v>
      </c>
      <c r="B76" s="6">
        <v>94</v>
      </c>
      <c r="C76" s="6" t="s">
        <v>18</v>
      </c>
      <c r="D76" s="6"/>
      <c r="E76" s="6"/>
      <c r="F76" s="6" t="s">
        <v>1</v>
      </c>
      <c r="G76" s="6" t="s">
        <v>219</v>
      </c>
      <c r="H76" s="6" t="s">
        <v>220</v>
      </c>
      <c r="I76" s="6" t="s">
        <v>98</v>
      </c>
      <c r="J76" s="7" t="s">
        <v>219</v>
      </c>
      <c r="K76" s="7"/>
      <c r="L76" s="8" t="s">
        <v>219</v>
      </c>
      <c r="M76" s="8"/>
      <c r="N76" s="9">
        <f>_xlfn.XLOOKUP(Tabla1[[#This Row],[IDMAIL]],Hoja3!B:B,Hoja3!G:G)</f>
        <v>6</v>
      </c>
    </row>
    <row r="77" spans="1:14" x14ac:dyDescent="0.35">
      <c r="A77" s="5">
        <v>76</v>
      </c>
      <c r="B77" s="6">
        <v>91</v>
      </c>
      <c r="C77" s="6" t="s">
        <v>0</v>
      </c>
      <c r="D77" s="6"/>
      <c r="E77" s="6"/>
      <c r="F77" s="6" t="s">
        <v>1</v>
      </c>
      <c r="G77" s="6" t="s">
        <v>221</v>
      </c>
      <c r="H77" s="6" t="s">
        <v>222</v>
      </c>
      <c r="I77" s="6" t="s">
        <v>223</v>
      </c>
      <c r="J77" s="7" t="s">
        <v>221</v>
      </c>
      <c r="K77" s="7"/>
      <c r="L77" s="8" t="s">
        <v>221</v>
      </c>
      <c r="M77" s="8"/>
      <c r="N77" s="9">
        <f>_xlfn.XLOOKUP(Tabla1[[#This Row],[IDMAIL]],Hoja3!B:B,Hoja3!G:G)</f>
        <v>6</v>
      </c>
    </row>
    <row r="78" spans="1:14" x14ac:dyDescent="0.35">
      <c r="A78" s="5">
        <v>77</v>
      </c>
      <c r="B78" s="6">
        <v>95</v>
      </c>
      <c r="C78" s="6" t="s">
        <v>18</v>
      </c>
      <c r="D78" s="6"/>
      <c r="E78" s="6"/>
      <c r="F78" s="6" t="s">
        <v>1</v>
      </c>
      <c r="G78" s="6" t="s">
        <v>224</v>
      </c>
      <c r="H78" s="6" t="s">
        <v>225</v>
      </c>
      <c r="I78" s="6" t="s">
        <v>226</v>
      </c>
      <c r="J78" s="7" t="s">
        <v>224</v>
      </c>
      <c r="K78" s="7"/>
      <c r="L78" s="8" t="s">
        <v>224</v>
      </c>
      <c r="M78" s="8"/>
      <c r="N78" s="9">
        <f>_xlfn.XLOOKUP(Tabla1[[#This Row],[IDMAIL]],Hoja3!B:B,Hoja3!G:G)</f>
        <v>6</v>
      </c>
    </row>
    <row r="79" spans="1:14" x14ac:dyDescent="0.35">
      <c r="A79" s="5">
        <v>78</v>
      </c>
      <c r="B79" s="6">
        <v>100</v>
      </c>
      <c r="C79" s="6" t="s">
        <v>0</v>
      </c>
      <c r="D79" s="6"/>
      <c r="E79" s="6"/>
      <c r="F79" s="6" t="s">
        <v>1</v>
      </c>
      <c r="G79" s="6" t="s">
        <v>227</v>
      </c>
      <c r="H79" s="6" t="s">
        <v>228</v>
      </c>
      <c r="I79" s="6" t="s">
        <v>227</v>
      </c>
      <c r="J79" s="7" t="s">
        <v>227</v>
      </c>
      <c r="K79" s="7"/>
      <c r="L79" s="8" t="s">
        <v>227</v>
      </c>
      <c r="M79" s="8"/>
      <c r="N79" s="9">
        <f>_xlfn.XLOOKUP(Tabla1[[#This Row],[IDMAIL]],Hoja3!B:B,Hoja3!G:G)</f>
        <v>6</v>
      </c>
    </row>
    <row r="80" spans="1:14" x14ac:dyDescent="0.35">
      <c r="A80" s="5">
        <v>79</v>
      </c>
      <c r="B80" s="6">
        <v>70</v>
      </c>
      <c r="C80" s="6" t="s">
        <v>0</v>
      </c>
      <c r="D80" s="6"/>
      <c r="E80" s="6"/>
      <c r="F80" s="6" t="s">
        <v>1</v>
      </c>
      <c r="G80" s="6" t="s">
        <v>229</v>
      </c>
      <c r="H80" s="6" t="s">
        <v>230</v>
      </c>
      <c r="I80" s="6" t="s">
        <v>231</v>
      </c>
      <c r="J80" s="7" t="s">
        <v>229</v>
      </c>
      <c r="K80" s="7"/>
      <c r="L80" s="8" t="s">
        <v>229</v>
      </c>
      <c r="M80" s="8"/>
      <c r="N80" s="9">
        <f>_xlfn.XLOOKUP(Tabla1[[#This Row],[IDMAIL]],Hoja3!B:B,Hoja3!G:G)</f>
        <v>6</v>
      </c>
    </row>
    <row r="81" spans="1:14" x14ac:dyDescent="0.35">
      <c r="A81" s="5">
        <v>80</v>
      </c>
      <c r="B81" s="6">
        <v>96</v>
      </c>
      <c r="C81" s="6" t="s">
        <v>18</v>
      </c>
      <c r="D81" s="6"/>
      <c r="E81" s="6"/>
      <c r="F81" s="6" t="s">
        <v>1</v>
      </c>
      <c r="G81" s="6" t="s">
        <v>232</v>
      </c>
      <c r="H81" s="6" t="s">
        <v>233</v>
      </c>
      <c r="I81" s="6" t="s">
        <v>234</v>
      </c>
      <c r="J81" s="7" t="s">
        <v>232</v>
      </c>
      <c r="K81" s="7"/>
      <c r="L81" s="8" t="s">
        <v>232</v>
      </c>
      <c r="M81" s="8"/>
      <c r="N81" s="9">
        <f>_xlfn.XLOOKUP(Tabla1[[#This Row],[IDMAIL]],Hoja3!B:B,Hoja3!G:G)</f>
        <v>6</v>
      </c>
    </row>
    <row r="82" spans="1:14" x14ac:dyDescent="0.35">
      <c r="A82" s="5">
        <v>81</v>
      </c>
      <c r="B82" s="6">
        <v>97</v>
      </c>
      <c r="C82" s="6" t="s">
        <v>0</v>
      </c>
      <c r="D82" s="6"/>
      <c r="E82" s="6"/>
      <c r="F82" s="6" t="s">
        <v>1</v>
      </c>
      <c r="G82" s="6" t="s">
        <v>235</v>
      </c>
      <c r="H82" s="6" t="s">
        <v>236</v>
      </c>
      <c r="I82" s="6" t="s">
        <v>235</v>
      </c>
      <c r="J82" s="7" t="s">
        <v>235</v>
      </c>
      <c r="K82" s="7"/>
      <c r="L82" s="8" t="s">
        <v>235</v>
      </c>
      <c r="M82" s="8"/>
      <c r="N82" s="9">
        <f>_xlfn.XLOOKUP(Tabla1[[#This Row],[IDMAIL]],Hoja3!B:B,Hoja3!G:G)</f>
        <v>6</v>
      </c>
    </row>
    <row r="83" spans="1:14" x14ac:dyDescent="0.35">
      <c r="A83" s="5">
        <v>82</v>
      </c>
      <c r="B83" s="6">
        <v>98</v>
      </c>
      <c r="C83" s="6" t="s">
        <v>0</v>
      </c>
      <c r="D83" s="6"/>
      <c r="E83" s="6"/>
      <c r="F83" s="6" t="s">
        <v>1</v>
      </c>
      <c r="G83" s="6" t="s">
        <v>237</v>
      </c>
      <c r="H83" s="6" t="s">
        <v>238</v>
      </c>
      <c r="I83" s="6" t="s">
        <v>237</v>
      </c>
      <c r="J83" s="7" t="s">
        <v>237</v>
      </c>
      <c r="K83" s="7"/>
      <c r="L83" s="8" t="s">
        <v>237</v>
      </c>
      <c r="M83" s="8"/>
      <c r="N83" s="9">
        <f>_xlfn.XLOOKUP(Tabla1[[#This Row],[IDMAIL]],Hoja3!B:B,Hoja3!G:G)</f>
        <v>6</v>
      </c>
    </row>
    <row r="84" spans="1:14" x14ac:dyDescent="0.35">
      <c r="A84" s="5">
        <v>83</v>
      </c>
      <c r="B84" s="6">
        <v>99</v>
      </c>
      <c r="C84" s="6" t="s">
        <v>0</v>
      </c>
      <c r="D84" s="6"/>
      <c r="E84" s="6"/>
      <c r="F84" s="6" t="s">
        <v>1</v>
      </c>
      <c r="G84" s="6" t="s">
        <v>239</v>
      </c>
      <c r="H84" s="6" t="s">
        <v>240</v>
      </c>
      <c r="I84" s="6" t="s">
        <v>239</v>
      </c>
      <c r="J84" s="7" t="s">
        <v>239</v>
      </c>
      <c r="K84" s="7"/>
      <c r="L84" s="8" t="s">
        <v>239</v>
      </c>
      <c r="M84" s="8"/>
      <c r="N84" s="9">
        <f>_xlfn.XLOOKUP(Tabla1[[#This Row],[IDMAIL]],Hoja3!B:B,Hoja3!G:G)</f>
        <v>6</v>
      </c>
    </row>
    <row r="85" spans="1:14" x14ac:dyDescent="0.35">
      <c r="A85" s="5">
        <v>84</v>
      </c>
      <c r="B85" s="6">
        <v>101</v>
      </c>
      <c r="C85" s="6" t="s">
        <v>0</v>
      </c>
      <c r="D85" s="6"/>
      <c r="E85" s="6"/>
      <c r="F85" s="6" t="s">
        <v>1</v>
      </c>
      <c r="G85" s="6" t="s">
        <v>241</v>
      </c>
      <c r="H85" s="6" t="s">
        <v>242</v>
      </c>
      <c r="I85" s="6" t="s">
        <v>243</v>
      </c>
      <c r="J85" s="7" t="s">
        <v>241</v>
      </c>
      <c r="K85" s="7"/>
      <c r="L85" s="8" t="s">
        <v>241</v>
      </c>
      <c r="M85" s="8"/>
      <c r="N85" s="9">
        <f>_xlfn.XLOOKUP(Tabla1[[#This Row],[IDMAIL]],Hoja3!B:B,Hoja3!G:G)</f>
        <v>6</v>
      </c>
    </row>
    <row r="86" spans="1:14" x14ac:dyDescent="0.35">
      <c r="A86" s="5">
        <v>85</v>
      </c>
      <c r="B86" s="6">
        <v>74</v>
      </c>
      <c r="C86" s="6" t="s">
        <v>0</v>
      </c>
      <c r="D86" s="6"/>
      <c r="E86" s="6"/>
      <c r="F86" s="6" t="s">
        <v>1</v>
      </c>
      <c r="G86" s="6" t="s">
        <v>244</v>
      </c>
      <c r="H86" s="6" t="s">
        <v>245</v>
      </c>
      <c r="I86" s="6" t="s">
        <v>244</v>
      </c>
      <c r="J86" s="7" t="s">
        <v>244</v>
      </c>
      <c r="K86" s="7"/>
      <c r="L86" s="8" t="s">
        <v>244</v>
      </c>
      <c r="M86" s="8"/>
      <c r="N86" s="9">
        <f>_xlfn.XLOOKUP(Tabla1[[#This Row],[IDMAIL]],Hoja3!B:B,Hoja3!G:G)</f>
        <v>6</v>
      </c>
    </row>
    <row r="87" spans="1:14" x14ac:dyDescent="0.35">
      <c r="A87" s="5">
        <v>86</v>
      </c>
      <c r="B87" s="6">
        <v>73</v>
      </c>
      <c r="C87" s="6" t="s">
        <v>0</v>
      </c>
      <c r="D87" s="6"/>
      <c r="E87" s="6"/>
      <c r="F87" s="6" t="s">
        <v>1</v>
      </c>
      <c r="G87" s="6" t="s">
        <v>246</v>
      </c>
      <c r="H87" s="6" t="s">
        <v>247</v>
      </c>
      <c r="I87" s="6" t="s">
        <v>246</v>
      </c>
      <c r="J87" s="7" t="s">
        <v>246</v>
      </c>
      <c r="K87" s="7"/>
      <c r="L87" s="8" t="s">
        <v>246</v>
      </c>
      <c r="M87" s="8"/>
      <c r="N87" s="9">
        <f>_xlfn.XLOOKUP(Tabla1[[#This Row],[IDMAIL]],Hoja3!B:B,Hoja3!G:G)</f>
        <v>6</v>
      </c>
    </row>
    <row r="88" spans="1:14" x14ac:dyDescent="0.35">
      <c r="A88" s="5">
        <v>87</v>
      </c>
      <c r="B88" s="6">
        <v>71</v>
      </c>
      <c r="C88" s="6" t="s">
        <v>0</v>
      </c>
      <c r="D88" s="6"/>
      <c r="E88" s="6"/>
      <c r="F88" s="6" t="s">
        <v>1</v>
      </c>
      <c r="G88" s="6" t="s">
        <v>248</v>
      </c>
      <c r="H88" s="6" t="s">
        <v>249</v>
      </c>
      <c r="I88" s="6" t="s">
        <v>248</v>
      </c>
      <c r="J88" s="7" t="s">
        <v>248</v>
      </c>
      <c r="K88" s="7"/>
      <c r="L88" s="8" t="s">
        <v>248</v>
      </c>
      <c r="M88" s="8"/>
      <c r="N88" s="9">
        <f>_xlfn.XLOOKUP(Tabla1[[#This Row],[IDMAIL]],Hoja3!B:B,Hoja3!G:G)</f>
        <v>6</v>
      </c>
    </row>
    <row r="89" spans="1:14" x14ac:dyDescent="0.35">
      <c r="A89" s="5">
        <v>88</v>
      </c>
      <c r="B89" s="6">
        <v>102</v>
      </c>
      <c r="C89" s="6" t="s">
        <v>0</v>
      </c>
      <c r="D89" s="6"/>
      <c r="E89" s="6"/>
      <c r="F89" s="6" t="s">
        <v>1</v>
      </c>
      <c r="G89" s="6" t="s">
        <v>250</v>
      </c>
      <c r="H89" s="6" t="s">
        <v>251</v>
      </c>
      <c r="I89" s="6" t="s">
        <v>250</v>
      </c>
      <c r="J89" s="7" t="s">
        <v>250</v>
      </c>
      <c r="K89" s="7"/>
      <c r="L89" s="8" t="s">
        <v>250</v>
      </c>
      <c r="M89" s="8"/>
      <c r="N89" s="9">
        <f>_xlfn.XLOOKUP(Tabla1[[#This Row],[IDMAIL]],Hoja3!B:B,Hoja3!G:G)</f>
        <v>6</v>
      </c>
    </row>
    <row r="90" spans="1:14" x14ac:dyDescent="0.35">
      <c r="A90" s="5">
        <v>89</v>
      </c>
      <c r="B90" s="6">
        <v>76</v>
      </c>
      <c r="C90" s="6" t="s">
        <v>0</v>
      </c>
      <c r="D90" s="6"/>
      <c r="E90" s="6"/>
      <c r="F90" s="6" t="s">
        <v>1</v>
      </c>
      <c r="G90" s="6" t="s">
        <v>252</v>
      </c>
      <c r="H90" s="6" t="s">
        <v>253</v>
      </c>
      <c r="I90" s="6" t="s">
        <v>252</v>
      </c>
      <c r="J90" s="7" t="s">
        <v>252</v>
      </c>
      <c r="K90" s="7"/>
      <c r="L90" s="8" t="s">
        <v>252</v>
      </c>
      <c r="M90" s="8"/>
      <c r="N90" s="9">
        <f>_xlfn.XLOOKUP(Tabla1[[#This Row],[IDMAIL]],Hoja3!B:B,Hoja3!G:G)</f>
        <v>6</v>
      </c>
    </row>
    <row r="91" spans="1:14" x14ac:dyDescent="0.35">
      <c r="A91" s="5">
        <v>90</v>
      </c>
      <c r="B91" s="6">
        <v>103</v>
      </c>
      <c r="C91" s="6" t="s">
        <v>0</v>
      </c>
      <c r="D91" s="6"/>
      <c r="E91" s="6"/>
      <c r="F91" s="6" t="s">
        <v>1</v>
      </c>
      <c r="G91" s="6" t="s">
        <v>254</v>
      </c>
      <c r="H91" s="6" t="s">
        <v>255</v>
      </c>
      <c r="I91" s="6" t="s">
        <v>254</v>
      </c>
      <c r="J91" s="7" t="s">
        <v>254</v>
      </c>
      <c r="K91" s="7"/>
      <c r="L91" s="8" t="s">
        <v>254</v>
      </c>
      <c r="M91" s="8"/>
      <c r="N91" s="9">
        <f>_xlfn.XLOOKUP(Tabla1[[#This Row],[IDMAIL]],Hoja3!B:B,Hoja3!G:G)</f>
        <v>7</v>
      </c>
    </row>
    <row r="92" spans="1:14" x14ac:dyDescent="0.35">
      <c r="A92" s="5">
        <v>91</v>
      </c>
      <c r="B92" s="6">
        <v>75</v>
      </c>
      <c r="C92" s="6" t="s">
        <v>0</v>
      </c>
      <c r="D92" s="6"/>
      <c r="E92" s="6"/>
      <c r="F92" s="6" t="s">
        <v>1</v>
      </c>
      <c r="G92" s="6" t="s">
        <v>256</v>
      </c>
      <c r="H92" s="6" t="s">
        <v>257</v>
      </c>
      <c r="I92" s="6" t="s">
        <v>258</v>
      </c>
      <c r="J92" s="7" t="s">
        <v>256</v>
      </c>
      <c r="K92" s="7"/>
      <c r="L92" s="8" t="s">
        <v>256</v>
      </c>
      <c r="M92" s="8"/>
      <c r="N92" s="9">
        <f>_xlfn.XLOOKUP(Tabla1[[#This Row],[IDMAIL]],Hoja3!B:B,Hoja3!G:G)</f>
        <v>7</v>
      </c>
    </row>
    <row r="93" spans="1:14" x14ac:dyDescent="0.35">
      <c r="A93" s="5">
        <v>92</v>
      </c>
      <c r="B93" s="6">
        <v>104</v>
      </c>
      <c r="C93" s="6" t="s">
        <v>18</v>
      </c>
      <c r="D93" s="6"/>
      <c r="E93" s="6"/>
      <c r="F93" s="6" t="s">
        <v>1</v>
      </c>
      <c r="G93" s="6" t="s">
        <v>259</v>
      </c>
      <c r="H93" s="6" t="s">
        <v>260</v>
      </c>
      <c r="I93" s="6" t="s">
        <v>261</v>
      </c>
      <c r="J93" s="7" t="s">
        <v>259</v>
      </c>
      <c r="K93" s="7"/>
      <c r="L93" s="8" t="s">
        <v>259</v>
      </c>
      <c r="M93" s="8"/>
      <c r="N93" s="9">
        <f>_xlfn.XLOOKUP(Tabla1[[#This Row],[IDMAIL]],Hoja3!B:B,Hoja3!G:G)</f>
        <v>7</v>
      </c>
    </row>
    <row r="94" spans="1:14" x14ac:dyDescent="0.35">
      <c r="A94" s="5">
        <v>93</v>
      </c>
      <c r="B94" s="6">
        <v>105</v>
      </c>
      <c r="C94" s="6" t="s">
        <v>0</v>
      </c>
      <c r="D94" s="6"/>
      <c r="E94" s="6"/>
      <c r="F94" s="6" t="s">
        <v>1</v>
      </c>
      <c r="G94" s="6" t="s">
        <v>262</v>
      </c>
      <c r="H94" s="6" t="s">
        <v>263</v>
      </c>
      <c r="I94" s="6" t="s">
        <v>262</v>
      </c>
      <c r="J94" s="7" t="s">
        <v>262</v>
      </c>
      <c r="K94" s="7"/>
      <c r="L94" s="8" t="s">
        <v>262</v>
      </c>
      <c r="M94" s="8"/>
      <c r="N94" s="9">
        <f>_xlfn.XLOOKUP(Tabla1[[#This Row],[IDMAIL]],Hoja3!B:B,Hoja3!G:G)</f>
        <v>7</v>
      </c>
    </row>
    <row r="95" spans="1:14" x14ac:dyDescent="0.35">
      <c r="A95" s="5">
        <v>94</v>
      </c>
      <c r="B95" s="6">
        <v>106</v>
      </c>
      <c r="C95" s="6" t="s">
        <v>18</v>
      </c>
      <c r="D95" s="6"/>
      <c r="E95" s="6"/>
      <c r="F95" s="6" t="s">
        <v>1</v>
      </c>
      <c r="G95" s="6" t="s">
        <v>169</v>
      </c>
      <c r="H95" s="6" t="s">
        <v>264</v>
      </c>
      <c r="I95" s="6" t="s">
        <v>265</v>
      </c>
      <c r="J95" s="7" t="s">
        <v>169</v>
      </c>
      <c r="K95" s="7"/>
      <c r="L95" s="8" t="s">
        <v>169</v>
      </c>
      <c r="M95" s="8"/>
      <c r="N95" s="9">
        <f>_xlfn.XLOOKUP(Tabla1[[#This Row],[IDMAIL]],Hoja3!B:B,Hoja3!G:G)</f>
        <v>7</v>
      </c>
    </row>
    <row r="96" spans="1:14" x14ac:dyDescent="0.35">
      <c r="A96" s="5">
        <v>95</v>
      </c>
      <c r="B96" s="6">
        <v>107</v>
      </c>
      <c r="C96" s="6" t="s">
        <v>266</v>
      </c>
      <c r="D96" s="6"/>
      <c r="E96" s="6"/>
      <c r="F96" s="6" t="s">
        <v>212</v>
      </c>
      <c r="G96" s="6" t="s">
        <v>267</v>
      </c>
      <c r="H96" s="6" t="s">
        <v>268</v>
      </c>
      <c r="I96" s="6" t="s">
        <v>269</v>
      </c>
      <c r="J96" s="7" t="s">
        <v>267</v>
      </c>
      <c r="K96" s="7"/>
      <c r="L96" s="8" t="s">
        <v>267</v>
      </c>
      <c r="M96" s="8"/>
      <c r="N96" s="9">
        <f>_xlfn.XLOOKUP(Tabla1[[#This Row],[IDMAIL]],Hoja3!B:B,Hoja3!G:G)</f>
        <v>7</v>
      </c>
    </row>
    <row r="97" spans="1:14" x14ac:dyDescent="0.35">
      <c r="A97" s="5">
        <v>96</v>
      </c>
      <c r="B97" s="6">
        <v>108</v>
      </c>
      <c r="C97" s="6" t="s">
        <v>0</v>
      </c>
      <c r="D97" s="6"/>
      <c r="E97" s="6"/>
      <c r="F97" s="6" t="s">
        <v>1</v>
      </c>
      <c r="G97" s="6" t="s">
        <v>270</v>
      </c>
      <c r="H97" s="6" t="s">
        <v>271</v>
      </c>
      <c r="I97" s="6" t="s">
        <v>272</v>
      </c>
      <c r="J97" s="7" t="s">
        <v>270</v>
      </c>
      <c r="K97" s="7"/>
      <c r="L97" s="8" t="s">
        <v>270</v>
      </c>
      <c r="M97" s="8"/>
      <c r="N97" s="9">
        <f>_xlfn.XLOOKUP(Tabla1[[#This Row],[IDMAIL]],Hoja3!B:B,Hoja3!G:G)</f>
        <v>7</v>
      </c>
    </row>
    <row r="98" spans="1:14" x14ac:dyDescent="0.35">
      <c r="A98" s="5">
        <v>97</v>
      </c>
      <c r="B98" s="6">
        <v>110</v>
      </c>
      <c r="C98" s="6" t="s">
        <v>0</v>
      </c>
      <c r="D98" s="6"/>
      <c r="E98" s="6"/>
      <c r="F98" s="6" t="s">
        <v>1</v>
      </c>
      <c r="G98" s="6" t="s">
        <v>273</v>
      </c>
      <c r="H98" s="6" t="s">
        <v>274</v>
      </c>
      <c r="I98" s="6" t="s">
        <v>273</v>
      </c>
      <c r="J98" s="7" t="s">
        <v>273</v>
      </c>
      <c r="K98" s="7"/>
      <c r="L98" s="8" t="s">
        <v>273</v>
      </c>
      <c r="M98" s="8"/>
      <c r="N98" s="9">
        <f>_xlfn.XLOOKUP(Tabla1[[#This Row],[IDMAIL]],Hoja3!B:B,Hoja3!G:G)</f>
        <v>7</v>
      </c>
    </row>
    <row r="99" spans="1:14" x14ac:dyDescent="0.35">
      <c r="A99" s="5">
        <v>98</v>
      </c>
      <c r="B99" s="6">
        <v>111</v>
      </c>
      <c r="C99" s="6" t="s">
        <v>0</v>
      </c>
      <c r="D99" s="6"/>
      <c r="E99" s="6"/>
      <c r="F99" s="6" t="s">
        <v>1</v>
      </c>
      <c r="G99" s="6" t="s">
        <v>275</v>
      </c>
      <c r="H99" s="6" t="s">
        <v>274</v>
      </c>
      <c r="I99" s="6" t="s">
        <v>275</v>
      </c>
      <c r="J99" s="7" t="s">
        <v>275</v>
      </c>
      <c r="K99" s="7"/>
      <c r="L99" s="8" t="s">
        <v>275</v>
      </c>
      <c r="M99" s="8"/>
      <c r="N99" s="9">
        <f>_xlfn.XLOOKUP(Tabla1[[#This Row],[IDMAIL]],Hoja3!B:B,Hoja3!G:G)</f>
        <v>7</v>
      </c>
    </row>
    <row r="100" spans="1:14" x14ac:dyDescent="0.35">
      <c r="A100" s="5">
        <v>99</v>
      </c>
      <c r="B100" s="6">
        <v>112</v>
      </c>
      <c r="C100" s="6" t="s">
        <v>0</v>
      </c>
      <c r="D100" s="6"/>
      <c r="E100" s="6"/>
      <c r="F100" s="6" t="s">
        <v>1</v>
      </c>
      <c r="G100" s="6" t="s">
        <v>276</v>
      </c>
      <c r="H100" s="6" t="s">
        <v>277</v>
      </c>
      <c r="I100" s="6" t="s">
        <v>278</v>
      </c>
      <c r="J100" s="7" t="s">
        <v>276</v>
      </c>
      <c r="K100" s="7"/>
      <c r="L100" s="8" t="s">
        <v>276</v>
      </c>
      <c r="M100" s="8"/>
      <c r="N100" s="9">
        <f>_xlfn.XLOOKUP(Tabla1[[#This Row],[IDMAIL]],Hoja3!B:B,Hoja3!G:G)</f>
        <v>7</v>
      </c>
    </row>
    <row r="101" spans="1:14" x14ac:dyDescent="0.35">
      <c r="A101" s="5">
        <v>100</v>
      </c>
      <c r="B101" s="6">
        <v>113</v>
      </c>
      <c r="C101" s="6" t="s">
        <v>0</v>
      </c>
      <c r="D101" s="6"/>
      <c r="E101" s="6"/>
      <c r="F101" s="6" t="s">
        <v>1</v>
      </c>
      <c r="G101" s="6" t="s">
        <v>279</v>
      </c>
      <c r="H101" s="6" t="s">
        <v>280</v>
      </c>
      <c r="I101" s="6" t="s">
        <v>281</v>
      </c>
      <c r="J101" s="7" t="s">
        <v>279</v>
      </c>
      <c r="K101" s="7"/>
      <c r="L101" s="8" t="s">
        <v>279</v>
      </c>
      <c r="M101" s="8"/>
      <c r="N101" s="9">
        <f>_xlfn.XLOOKUP(Tabla1[[#This Row],[IDMAIL]],Hoja3!B:B,Hoja3!G:G)</f>
        <v>7</v>
      </c>
    </row>
    <row r="102" spans="1:14" x14ac:dyDescent="0.35">
      <c r="A102" s="5">
        <v>101</v>
      </c>
      <c r="B102" s="6">
        <v>114</v>
      </c>
      <c r="C102" s="6" t="s">
        <v>0</v>
      </c>
      <c r="D102" s="6"/>
      <c r="E102" s="6"/>
      <c r="F102" s="6" t="s">
        <v>1</v>
      </c>
      <c r="G102" s="6" t="s">
        <v>282</v>
      </c>
      <c r="H102" s="6" t="s">
        <v>283</v>
      </c>
      <c r="I102" s="6" t="s">
        <v>284</v>
      </c>
      <c r="J102" s="7" t="s">
        <v>282</v>
      </c>
      <c r="K102" s="7"/>
      <c r="L102" s="8" t="s">
        <v>282</v>
      </c>
      <c r="M102" s="8"/>
      <c r="N102" s="9">
        <f>_xlfn.XLOOKUP(Tabla1[[#This Row],[IDMAIL]],Hoja3!B:B,Hoja3!G:G)</f>
        <v>7</v>
      </c>
    </row>
    <row r="103" spans="1:14" x14ac:dyDescent="0.35">
      <c r="A103" s="5">
        <v>102</v>
      </c>
      <c r="B103" s="6">
        <v>115</v>
      </c>
      <c r="C103" s="6" t="s">
        <v>0</v>
      </c>
      <c r="D103" s="6"/>
      <c r="E103" s="6"/>
      <c r="F103" s="6" t="s">
        <v>1</v>
      </c>
      <c r="G103" s="6" t="s">
        <v>285</v>
      </c>
      <c r="H103" s="6" t="s">
        <v>286</v>
      </c>
      <c r="I103" s="6" t="s">
        <v>284</v>
      </c>
      <c r="J103" s="7" t="s">
        <v>285</v>
      </c>
      <c r="K103" s="7"/>
      <c r="L103" s="8" t="s">
        <v>285</v>
      </c>
      <c r="M103" s="8"/>
      <c r="N103" s="9">
        <f>_xlfn.XLOOKUP(Tabla1[[#This Row],[IDMAIL]],Hoja3!B:B,Hoja3!G:G)</f>
        <v>7</v>
      </c>
    </row>
    <row r="104" spans="1:14" x14ac:dyDescent="0.35">
      <c r="A104" s="5">
        <v>103</v>
      </c>
      <c r="B104" s="6">
        <v>116</v>
      </c>
      <c r="C104" s="6" t="s">
        <v>18</v>
      </c>
      <c r="D104" s="6"/>
      <c r="E104" s="6"/>
      <c r="F104" s="6" t="s">
        <v>1</v>
      </c>
      <c r="G104" s="6" t="s">
        <v>287</v>
      </c>
      <c r="H104" s="6" t="s">
        <v>288</v>
      </c>
      <c r="I104" s="6" t="s">
        <v>289</v>
      </c>
      <c r="J104" s="7" t="s">
        <v>287</v>
      </c>
      <c r="K104" s="7"/>
      <c r="L104" s="8" t="s">
        <v>287</v>
      </c>
      <c r="M104" s="8"/>
      <c r="N104" s="9">
        <f>_xlfn.XLOOKUP(Tabla1[[#This Row],[IDMAIL]],Hoja3!B:B,Hoja3!G:G)</f>
        <v>7</v>
      </c>
    </row>
    <row r="105" spans="1:14" x14ac:dyDescent="0.35">
      <c r="A105" s="5">
        <v>104</v>
      </c>
      <c r="B105" s="6">
        <v>19</v>
      </c>
      <c r="C105" s="6" t="s">
        <v>18</v>
      </c>
      <c r="D105" s="6"/>
      <c r="E105" s="6"/>
      <c r="F105" s="6" t="s">
        <v>1</v>
      </c>
      <c r="G105" s="6" t="s">
        <v>290</v>
      </c>
      <c r="H105" s="6" t="s">
        <v>291</v>
      </c>
      <c r="I105" s="6" t="s">
        <v>292</v>
      </c>
      <c r="J105" s="7" t="s">
        <v>290</v>
      </c>
      <c r="K105" s="7"/>
      <c r="L105" s="8" t="s">
        <v>290</v>
      </c>
      <c r="M105" s="8"/>
      <c r="N105" s="9">
        <f>_xlfn.XLOOKUP(Tabla1[[#This Row],[IDMAIL]],Hoja3!B:B,Hoja3!G:G)</f>
        <v>7</v>
      </c>
    </row>
    <row r="106" spans="1:14" x14ac:dyDescent="0.35">
      <c r="A106" s="5">
        <v>105</v>
      </c>
      <c r="B106" s="6">
        <v>20</v>
      </c>
      <c r="C106" s="6" t="s">
        <v>18</v>
      </c>
      <c r="D106" s="6"/>
      <c r="E106" s="6"/>
      <c r="F106" s="6" t="s">
        <v>1</v>
      </c>
      <c r="G106" s="6" t="s">
        <v>224</v>
      </c>
      <c r="H106" s="6" t="s">
        <v>293</v>
      </c>
      <c r="I106" s="6" t="s">
        <v>226</v>
      </c>
      <c r="J106" s="7" t="s">
        <v>224</v>
      </c>
      <c r="K106" s="7"/>
      <c r="L106" s="8" t="s">
        <v>224</v>
      </c>
      <c r="M106" s="8"/>
      <c r="N106" s="9">
        <f>_xlfn.XLOOKUP(Tabla1[[#This Row],[IDMAIL]],Hoja3!B:B,Hoja3!G:G)</f>
        <v>8</v>
      </c>
    </row>
    <row r="107" spans="1:14" x14ac:dyDescent="0.35">
      <c r="A107" s="5">
        <v>106</v>
      </c>
      <c r="B107" s="6">
        <v>21</v>
      </c>
      <c r="C107" s="6" t="s">
        <v>18</v>
      </c>
      <c r="D107" s="6"/>
      <c r="E107" s="6"/>
      <c r="F107" s="6" t="s">
        <v>1</v>
      </c>
      <c r="G107" s="6" t="s">
        <v>294</v>
      </c>
      <c r="H107" s="6" t="s">
        <v>295</v>
      </c>
      <c r="I107" s="6" t="s">
        <v>296</v>
      </c>
      <c r="J107" s="7" t="s">
        <v>294</v>
      </c>
      <c r="K107" s="7"/>
      <c r="L107" s="8" t="s">
        <v>294</v>
      </c>
      <c r="M107" s="8"/>
      <c r="N107" s="9">
        <f>_xlfn.XLOOKUP(Tabla1[[#This Row],[IDMAIL]],Hoja3!B:B,Hoja3!G:G)</f>
        <v>8</v>
      </c>
    </row>
    <row r="108" spans="1:14" x14ac:dyDescent="0.35">
      <c r="A108" s="5">
        <v>107</v>
      </c>
      <c r="B108" s="6">
        <v>22</v>
      </c>
      <c r="C108" s="6" t="s">
        <v>18</v>
      </c>
      <c r="D108" s="6"/>
      <c r="E108" s="6"/>
      <c r="F108" s="6" t="s">
        <v>1</v>
      </c>
      <c r="G108" s="6" t="s">
        <v>297</v>
      </c>
      <c r="H108" s="6" t="s">
        <v>298</v>
      </c>
      <c r="I108" s="6" t="s">
        <v>299</v>
      </c>
      <c r="J108" s="7" t="s">
        <v>297</v>
      </c>
      <c r="K108" s="7"/>
      <c r="L108" s="8" t="s">
        <v>297</v>
      </c>
      <c r="M108" s="8"/>
      <c r="N108" s="9">
        <f>_xlfn.XLOOKUP(Tabla1[[#This Row],[IDMAIL]],Hoja3!B:B,Hoja3!G:G)</f>
        <v>8</v>
      </c>
    </row>
    <row r="109" spans="1:14" x14ac:dyDescent="0.35">
      <c r="A109" s="5">
        <v>108</v>
      </c>
      <c r="B109" s="6">
        <v>23</v>
      </c>
      <c r="C109" s="6" t="s">
        <v>18</v>
      </c>
      <c r="D109" s="6"/>
      <c r="E109" s="6"/>
      <c r="F109" s="6" t="s">
        <v>1</v>
      </c>
      <c r="G109" s="6" t="s">
        <v>300</v>
      </c>
      <c r="H109" s="6" t="s">
        <v>301</v>
      </c>
      <c r="I109" s="6" t="s">
        <v>302</v>
      </c>
      <c r="J109" s="7" t="s">
        <v>300</v>
      </c>
      <c r="K109" s="7"/>
      <c r="L109" s="8" t="s">
        <v>300</v>
      </c>
      <c r="M109" s="8"/>
      <c r="N109" s="9">
        <f>_xlfn.XLOOKUP(Tabla1[[#This Row],[IDMAIL]],Hoja3!B:B,Hoja3!G:G)</f>
        <v>8</v>
      </c>
    </row>
    <row r="110" spans="1:14" x14ac:dyDescent="0.35">
      <c r="A110" s="5">
        <v>109</v>
      </c>
      <c r="B110" s="6">
        <v>24</v>
      </c>
      <c r="C110" s="6" t="s">
        <v>18</v>
      </c>
      <c r="D110" s="6"/>
      <c r="E110" s="6"/>
      <c r="F110" s="6" t="s">
        <v>1</v>
      </c>
      <c r="G110" s="6" t="s">
        <v>303</v>
      </c>
      <c r="H110" s="6" t="s">
        <v>304</v>
      </c>
      <c r="I110" s="6" t="s">
        <v>305</v>
      </c>
      <c r="J110" s="7" t="s">
        <v>303</v>
      </c>
      <c r="K110" s="7"/>
      <c r="L110" s="8" t="s">
        <v>303</v>
      </c>
      <c r="M110" s="8"/>
      <c r="N110" s="9">
        <f>_xlfn.XLOOKUP(Tabla1[[#This Row],[IDMAIL]],Hoja3!B:B,Hoja3!G:G)</f>
        <v>8</v>
      </c>
    </row>
    <row r="111" spans="1:14" x14ac:dyDescent="0.35">
      <c r="A111" s="5">
        <v>110</v>
      </c>
      <c r="B111" s="6">
        <v>25</v>
      </c>
      <c r="C111" s="6" t="s">
        <v>18</v>
      </c>
      <c r="D111" s="6"/>
      <c r="E111" s="6"/>
      <c r="F111" s="6" t="s">
        <v>1</v>
      </c>
      <c r="G111" s="6" t="s">
        <v>306</v>
      </c>
      <c r="H111" s="6" t="s">
        <v>307</v>
      </c>
      <c r="I111" s="6" t="s">
        <v>308</v>
      </c>
      <c r="J111" s="7" t="s">
        <v>306</v>
      </c>
      <c r="K111" s="7"/>
      <c r="L111" s="8" t="s">
        <v>306</v>
      </c>
      <c r="M111" s="8"/>
      <c r="N111" s="9">
        <f>_xlfn.XLOOKUP(Tabla1[[#This Row],[IDMAIL]],Hoja3!B:B,Hoja3!G:G)</f>
        <v>8</v>
      </c>
    </row>
    <row r="112" spans="1:14" x14ac:dyDescent="0.35">
      <c r="A112" s="5">
        <v>111</v>
      </c>
      <c r="B112" s="6">
        <v>1000</v>
      </c>
      <c r="C112" s="6" t="s">
        <v>309</v>
      </c>
      <c r="D112" s="6"/>
      <c r="E112" s="6"/>
      <c r="F112" s="6" t="s">
        <v>310</v>
      </c>
      <c r="G112" s="6" t="s">
        <v>23</v>
      </c>
      <c r="H112" s="6" t="s">
        <v>311</v>
      </c>
      <c r="I112" s="6" t="s">
        <v>25</v>
      </c>
      <c r="J112" s="7" t="s">
        <v>23</v>
      </c>
      <c r="K112" s="7"/>
      <c r="L112" s="8" t="s">
        <v>23</v>
      </c>
      <c r="M112" s="8"/>
      <c r="N112" s="9">
        <f>_xlfn.XLOOKUP(Tabla1[[#This Row],[IDMAIL]],Hoja3!B:B,Hoja3!G:G)</f>
        <v>8</v>
      </c>
    </row>
    <row r="113" spans="1:14" x14ac:dyDescent="0.35">
      <c r="A113" s="5">
        <v>112</v>
      </c>
      <c r="B113" s="6">
        <v>143</v>
      </c>
      <c r="C113" s="6" t="s">
        <v>312</v>
      </c>
      <c r="D113" s="6"/>
      <c r="E113" s="6"/>
      <c r="F113" s="6" t="s">
        <v>1</v>
      </c>
      <c r="G113" s="6" t="s">
        <v>312</v>
      </c>
      <c r="H113" s="6" t="s">
        <v>313</v>
      </c>
      <c r="I113" s="6" t="s">
        <v>314</v>
      </c>
      <c r="J113" s="7" t="s">
        <v>312</v>
      </c>
      <c r="K113" s="7"/>
      <c r="L113" s="8" t="s">
        <v>312</v>
      </c>
      <c r="M113" s="8"/>
      <c r="N113" s="9">
        <f>_xlfn.XLOOKUP(Tabla1[[#This Row],[IDMAIL]],Hoja3!B:B,Hoja3!G:G)</f>
        <v>8</v>
      </c>
    </row>
    <row r="114" spans="1:14" x14ac:dyDescent="0.35">
      <c r="A114" s="5">
        <v>113</v>
      </c>
      <c r="B114" s="6">
        <v>144</v>
      </c>
      <c r="C114" s="6" t="s">
        <v>315</v>
      </c>
      <c r="D114" s="6"/>
      <c r="E114" s="6"/>
      <c r="F114" s="6" t="s">
        <v>1</v>
      </c>
      <c r="G114" s="6" t="s">
        <v>315</v>
      </c>
      <c r="H114" s="6" t="s">
        <v>316</v>
      </c>
      <c r="I114" s="6" t="s">
        <v>317</v>
      </c>
      <c r="J114" s="7" t="s">
        <v>315</v>
      </c>
      <c r="K114" s="7"/>
      <c r="L114" s="8" t="s">
        <v>315</v>
      </c>
      <c r="M114" s="8"/>
      <c r="N114" s="9">
        <f>_xlfn.XLOOKUP(Tabla1[[#This Row],[IDMAIL]],Hoja3!B:B,Hoja3!G:G)</f>
        <v>8</v>
      </c>
    </row>
    <row r="115" spans="1:14" x14ac:dyDescent="0.35">
      <c r="A115" s="5">
        <v>114</v>
      </c>
      <c r="B115" s="6">
        <v>150</v>
      </c>
      <c r="C115" s="6" t="s">
        <v>318</v>
      </c>
      <c r="D115" s="6"/>
      <c r="E115" s="6"/>
      <c r="F115" s="6" t="s">
        <v>1</v>
      </c>
      <c r="G115" s="6" t="s">
        <v>319</v>
      </c>
      <c r="H115" s="6" t="s">
        <v>320</v>
      </c>
      <c r="I115" s="6" t="s">
        <v>321</v>
      </c>
      <c r="J115" s="7" t="s">
        <v>319</v>
      </c>
      <c r="K115" s="7"/>
      <c r="L115" s="8" t="s">
        <v>319</v>
      </c>
      <c r="M115" s="8"/>
      <c r="N115" s="9">
        <f>_xlfn.XLOOKUP(Tabla1[[#This Row],[IDMAIL]],Hoja3!B:B,Hoja3!G:G)</f>
        <v>8</v>
      </c>
    </row>
    <row r="116" spans="1:14" x14ac:dyDescent="0.35">
      <c r="A116" s="5">
        <v>115</v>
      </c>
      <c r="B116" s="6">
        <v>151</v>
      </c>
      <c r="C116" s="6" t="s">
        <v>322</v>
      </c>
      <c r="D116" s="6"/>
      <c r="E116" s="6"/>
      <c r="F116" s="6" t="s">
        <v>1</v>
      </c>
      <c r="G116" s="6" t="s">
        <v>323</v>
      </c>
      <c r="H116" s="6" t="s">
        <v>324</v>
      </c>
      <c r="I116" s="6" t="s">
        <v>325</v>
      </c>
      <c r="J116" s="7" t="s">
        <v>323</v>
      </c>
      <c r="K116" s="7"/>
      <c r="L116" s="8" t="s">
        <v>323</v>
      </c>
      <c r="M116" s="8"/>
      <c r="N116" s="9">
        <f>_xlfn.XLOOKUP(Tabla1[[#This Row],[IDMAIL]],Hoja3!B:B,Hoja3!G:G)</f>
        <v>8</v>
      </c>
    </row>
    <row r="117" spans="1:14" x14ac:dyDescent="0.35">
      <c r="A117" s="5">
        <v>116</v>
      </c>
      <c r="B117" s="6">
        <v>152</v>
      </c>
      <c r="C117" s="6" t="s">
        <v>326</v>
      </c>
      <c r="D117" s="6"/>
      <c r="E117" s="6"/>
      <c r="F117" s="6" t="s">
        <v>1</v>
      </c>
      <c r="G117" s="6" t="s">
        <v>327</v>
      </c>
      <c r="H117" s="6" t="s">
        <v>328</v>
      </c>
      <c r="I117" s="6" t="s">
        <v>329</v>
      </c>
      <c r="J117" s="7" t="s">
        <v>327</v>
      </c>
      <c r="K117" s="7"/>
      <c r="L117" s="8" t="s">
        <v>327</v>
      </c>
      <c r="M117" s="8"/>
      <c r="N117" s="9">
        <f>_xlfn.XLOOKUP(Tabla1[[#This Row],[IDMAIL]],Hoja3!B:B,Hoja3!G:G)</f>
        <v>8</v>
      </c>
    </row>
    <row r="118" spans="1:14" x14ac:dyDescent="0.35">
      <c r="A118" s="5">
        <v>117</v>
      </c>
      <c r="B118" s="6">
        <v>153</v>
      </c>
      <c r="C118" s="6" t="s">
        <v>330</v>
      </c>
      <c r="D118" s="6"/>
      <c r="E118" s="6"/>
      <c r="F118" s="6" t="s">
        <v>1</v>
      </c>
      <c r="G118" s="6" t="s">
        <v>331</v>
      </c>
      <c r="H118" s="6" t="s">
        <v>332</v>
      </c>
      <c r="I118" s="6" t="s">
        <v>333</v>
      </c>
      <c r="J118" s="7" t="s">
        <v>331</v>
      </c>
      <c r="K118" s="7"/>
      <c r="L118" s="8" t="s">
        <v>331</v>
      </c>
      <c r="M118" s="8"/>
      <c r="N118" s="9">
        <f>_xlfn.XLOOKUP(Tabla1[[#This Row],[IDMAIL]],Hoja3!B:B,Hoja3!G:G)</f>
        <v>8</v>
      </c>
    </row>
    <row r="119" spans="1:14" x14ac:dyDescent="0.35">
      <c r="A119" s="5">
        <v>118</v>
      </c>
      <c r="B119" s="6">
        <v>154</v>
      </c>
      <c r="C119" s="6" t="s">
        <v>334</v>
      </c>
      <c r="D119" s="6"/>
      <c r="E119" s="6"/>
      <c r="F119" s="6" t="s">
        <v>1</v>
      </c>
      <c r="G119" s="6" t="s">
        <v>335</v>
      </c>
      <c r="H119" s="6" t="s">
        <v>336</v>
      </c>
      <c r="I119" s="6" t="s">
        <v>337</v>
      </c>
      <c r="J119" s="7" t="s">
        <v>335</v>
      </c>
      <c r="K119" s="7"/>
      <c r="L119" s="8" t="s">
        <v>335</v>
      </c>
      <c r="M119" s="8"/>
      <c r="N119" s="9">
        <f>_xlfn.XLOOKUP(Tabla1[[#This Row],[IDMAIL]],Hoja3!B:B,Hoja3!G:G)</f>
        <v>8</v>
      </c>
    </row>
    <row r="120" spans="1:14" x14ac:dyDescent="0.35">
      <c r="A120" s="5">
        <v>119</v>
      </c>
      <c r="B120" s="6">
        <v>6508</v>
      </c>
      <c r="C120" s="6" t="s">
        <v>0</v>
      </c>
      <c r="D120" s="6"/>
      <c r="E120" s="6"/>
      <c r="F120" s="6" t="s">
        <v>1</v>
      </c>
      <c r="G120" s="6" t="s">
        <v>338</v>
      </c>
      <c r="H120" s="6" t="s">
        <v>339</v>
      </c>
      <c r="I120" s="6" t="s">
        <v>340</v>
      </c>
      <c r="J120" s="7" t="s">
        <v>338</v>
      </c>
      <c r="K120" s="7"/>
      <c r="L120" s="8" t="s">
        <v>338</v>
      </c>
      <c r="M120" s="8"/>
      <c r="N120" s="9">
        <f>_xlfn.XLOOKUP(Tabla1[[#This Row],[IDMAIL]],Hoja3!B:B,Hoja3!G:G)</f>
        <v>8</v>
      </c>
    </row>
    <row r="121" spans="1:14" x14ac:dyDescent="0.35">
      <c r="A121" s="5">
        <v>120</v>
      </c>
      <c r="B121" s="6">
        <v>161</v>
      </c>
      <c r="C121" s="6" t="s">
        <v>0</v>
      </c>
      <c r="D121" s="6"/>
      <c r="E121" s="6"/>
      <c r="F121" s="6" t="s">
        <v>1</v>
      </c>
      <c r="G121" s="6" t="s">
        <v>341</v>
      </c>
      <c r="H121" s="6" t="s">
        <v>342</v>
      </c>
      <c r="I121" s="6" t="s">
        <v>343</v>
      </c>
      <c r="J121" s="7" t="s">
        <v>341</v>
      </c>
      <c r="K121" s="7"/>
      <c r="L121" s="8" t="s">
        <v>341</v>
      </c>
      <c r="M121" s="8"/>
      <c r="N121" s="9">
        <f>_xlfn.XLOOKUP(Tabla1[[#This Row],[IDMAIL]],Hoja3!B:B,Hoja3!G:G)</f>
        <v>8</v>
      </c>
    </row>
    <row r="122" spans="1:14" x14ac:dyDescent="0.35">
      <c r="A122" s="5">
        <v>121</v>
      </c>
      <c r="B122" s="6">
        <v>162</v>
      </c>
      <c r="C122" s="6" t="s">
        <v>0</v>
      </c>
      <c r="D122" s="6"/>
      <c r="E122" s="6"/>
      <c r="F122" s="6" t="s">
        <v>1</v>
      </c>
      <c r="G122" s="6" t="s">
        <v>344</v>
      </c>
      <c r="H122" s="6" t="s">
        <v>345</v>
      </c>
      <c r="I122" s="6" t="s">
        <v>346</v>
      </c>
      <c r="J122" s="7" t="s">
        <v>344</v>
      </c>
      <c r="K122" s="7"/>
      <c r="L122" s="8" t="s">
        <v>344</v>
      </c>
      <c r="M122" s="8"/>
      <c r="N122" s="9">
        <f>_xlfn.XLOOKUP(Tabla1[[#This Row],[IDMAIL]],Hoja3!B:B,Hoja3!G:G)</f>
        <v>8</v>
      </c>
    </row>
    <row r="123" spans="1:14" x14ac:dyDescent="0.35">
      <c r="A123" s="5">
        <v>122</v>
      </c>
      <c r="B123" s="6">
        <v>163</v>
      </c>
      <c r="C123" s="6" t="s">
        <v>0</v>
      </c>
      <c r="D123" s="6"/>
      <c r="E123" s="6"/>
      <c r="F123" s="6" t="s">
        <v>1</v>
      </c>
      <c r="G123" s="6" t="s">
        <v>347</v>
      </c>
      <c r="H123" s="6" t="s">
        <v>348</v>
      </c>
      <c r="I123" s="6" t="s">
        <v>349</v>
      </c>
      <c r="J123" s="7" t="s">
        <v>347</v>
      </c>
      <c r="K123" s="7"/>
      <c r="L123" s="8" t="s">
        <v>347</v>
      </c>
      <c r="M123" s="8"/>
      <c r="N123" s="9">
        <f>_xlfn.XLOOKUP(Tabla1[[#This Row],[IDMAIL]],Hoja3!B:B,Hoja3!G:G)</f>
        <v>8</v>
      </c>
    </row>
    <row r="124" spans="1:14" x14ac:dyDescent="0.35">
      <c r="A124" s="10">
        <v>123</v>
      </c>
      <c r="B124" s="11">
        <v>164</v>
      </c>
      <c r="C124" s="11" t="s">
        <v>0</v>
      </c>
      <c r="D124" s="11"/>
      <c r="E124" s="11"/>
      <c r="F124" s="11" t="s">
        <v>1</v>
      </c>
      <c r="G124" s="11" t="s">
        <v>350</v>
      </c>
      <c r="H124" s="11" t="s">
        <v>351</v>
      </c>
      <c r="I124" s="11" t="s">
        <v>352</v>
      </c>
      <c r="J124" s="12" t="s">
        <v>350</v>
      </c>
      <c r="K124" s="12"/>
      <c r="L124" s="13" t="s">
        <v>350</v>
      </c>
      <c r="M124" s="13"/>
      <c r="N124" s="14">
        <f>_xlfn.XLOOKUP(Tabla1[[#This Row],[IDMAIL]],Hoja3!B:B,Hoja3!G:G)</f>
        <v>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3:A22"/>
  <sheetViews>
    <sheetView workbookViewId="0"/>
  </sheetViews>
  <sheetFormatPr defaultColWidth="10.90625" defaultRowHeight="14.5" x14ac:dyDescent="0.35"/>
  <sheetData>
    <row r="3" ht="14.4" customHeight="1" x14ac:dyDescent="0.35"/>
    <row r="22" ht="14.4" customHeight="1" x14ac:dyDescent="0.3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E17"/>
  <sheetViews>
    <sheetView tabSelected="1" workbookViewId="0">
      <selection activeCell="C6" sqref="C6"/>
    </sheetView>
  </sheetViews>
  <sheetFormatPr defaultColWidth="10.90625" defaultRowHeight="14.5" x14ac:dyDescent="0.35"/>
  <cols>
    <col min="2" max="2" width="83.1796875" bestFit="1" customWidth="1"/>
    <col min="3" max="3" width="106.1796875" bestFit="1" customWidth="1"/>
    <col min="4" max="4" width="40.453125" hidden="1" customWidth="1"/>
    <col min="5" max="5" width="0" hidden="1" customWidth="1"/>
  </cols>
  <sheetData>
    <row r="1" spans="1:5" x14ac:dyDescent="0.35">
      <c r="A1" t="s">
        <v>387</v>
      </c>
      <c r="B1" t="s">
        <v>389</v>
      </c>
      <c r="C1" t="s">
        <v>475</v>
      </c>
      <c r="D1" t="s">
        <v>390</v>
      </c>
      <c r="E1" t="s">
        <v>467</v>
      </c>
    </row>
    <row r="2" spans="1:5" x14ac:dyDescent="0.35">
      <c r="A2" t="s">
        <v>476</v>
      </c>
      <c r="B2" s="16" t="s">
        <v>477</v>
      </c>
      <c r="C2" s="16" t="s">
        <v>478</v>
      </c>
    </row>
    <row r="3" spans="1:5" x14ac:dyDescent="0.35">
      <c r="A3" t="s">
        <v>473</v>
      </c>
      <c r="B3" s="16" t="s">
        <v>474</v>
      </c>
      <c r="C3" s="16" t="s">
        <v>480</v>
      </c>
    </row>
    <row r="4" spans="1:5" x14ac:dyDescent="0.35">
      <c r="A4" t="s">
        <v>388</v>
      </c>
      <c r="B4" s="16" t="s">
        <v>408</v>
      </c>
      <c r="C4" s="16" t="s">
        <v>481</v>
      </c>
      <c r="D4" s="16" t="s">
        <v>460</v>
      </c>
    </row>
    <row r="5" spans="1:5" x14ac:dyDescent="0.35">
      <c r="A5" t="s">
        <v>388</v>
      </c>
      <c r="B5" s="16" t="s">
        <v>472</v>
      </c>
      <c r="C5" s="16" t="s">
        <v>482</v>
      </c>
    </row>
    <row r="6" spans="1:5" x14ac:dyDescent="0.35">
      <c r="A6" t="s">
        <v>469</v>
      </c>
      <c r="B6" s="16" t="s">
        <v>468</v>
      </c>
      <c r="C6" s="16" t="s">
        <v>470</v>
      </c>
      <c r="D6" s="16" t="s">
        <v>468</v>
      </c>
    </row>
    <row r="7" spans="1:5" x14ac:dyDescent="0.35">
      <c r="A7" t="s">
        <v>469</v>
      </c>
      <c r="B7" s="16" t="s">
        <v>471</v>
      </c>
      <c r="C7" s="16" t="s">
        <v>470</v>
      </c>
      <c r="D7" t="s">
        <v>471</v>
      </c>
    </row>
    <row r="8" spans="1:5" x14ac:dyDescent="0.35">
      <c r="A8" t="s">
        <v>469</v>
      </c>
      <c r="B8" s="16" t="s">
        <v>465</v>
      </c>
      <c r="C8" s="16" t="s">
        <v>470</v>
      </c>
    </row>
    <row r="9" spans="1:5" x14ac:dyDescent="0.35">
      <c r="A9" t="s">
        <v>469</v>
      </c>
      <c r="B9" s="16" t="s">
        <v>479</v>
      </c>
    </row>
    <row r="17" spans="2:2" x14ac:dyDescent="0.35">
      <c r="B17" s="25"/>
    </row>
  </sheetData>
  <hyperlinks>
    <hyperlink ref="B4" r:id="rId1" xr:uid="{00000000-0004-0000-0300-000000000000}"/>
    <hyperlink ref="D4" r:id="rId2" xr:uid="{00000000-0004-0000-0300-000001000000}"/>
    <hyperlink ref="B6" r:id="rId3" tooltip="mailto:portalproveedores@iconstruye.com" display="mailto:portalproveedores@iconstruye.com" xr:uid="{00000000-0004-0000-0300-000002000000}"/>
    <hyperlink ref="D6" r:id="rId4" tooltip="mailto:portalproveedores@iconstruye.com" display="mailto:portalproveedores@iconstruye.com" xr:uid="{00000000-0004-0000-0300-000003000000}"/>
    <hyperlink ref="B7" r:id="rId5" xr:uid="{00000000-0004-0000-0300-000004000000}"/>
    <hyperlink ref="B8" r:id="rId6" xr:uid="{00000000-0004-0000-0300-000005000000}"/>
    <hyperlink ref="B3" r:id="rId7" xr:uid="{00000000-0004-0000-0300-000006000000}"/>
    <hyperlink ref="B2" r:id="rId8" xr:uid="{00000000-0004-0000-0300-000007000000}"/>
    <hyperlink ref="B5" r:id="rId9" xr:uid="{7D6627FF-7950-4649-BB73-E3A5FF361D60}"/>
    <hyperlink ref="B9" r:id="rId10" display="mailto:comercial@iconstruye.com" xr:uid="{5B1C3EF0-54F4-419E-9757-C5E8ED624FE7}"/>
  </hyperlinks>
  <pageMargins left="0.7" right="0.7" top="0.75" bottom="0.75" header="0.3" footer="0.3"/>
  <pageSetup orientation="portrait" r:id="rId11"/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C17"/>
  <sheetViews>
    <sheetView workbookViewId="0">
      <selection activeCell="C28" sqref="C27:C28"/>
    </sheetView>
  </sheetViews>
  <sheetFormatPr defaultColWidth="10.90625" defaultRowHeight="14.5" x14ac:dyDescent="0.35"/>
  <cols>
    <col min="1" max="1" width="83.1796875" bestFit="1" customWidth="1"/>
    <col min="2" max="2" width="67.81640625" bestFit="1" customWidth="1"/>
    <col min="3" max="3" width="43.81640625" bestFit="1" customWidth="1"/>
  </cols>
  <sheetData>
    <row r="1" spans="1:3" x14ac:dyDescent="0.35">
      <c r="A1" t="s">
        <v>404</v>
      </c>
      <c r="B1" t="s">
        <v>402</v>
      </c>
      <c r="C1" t="s">
        <v>403</v>
      </c>
    </row>
    <row r="2" spans="1:3" x14ac:dyDescent="0.35">
      <c r="A2" s="16" t="s">
        <v>408</v>
      </c>
      <c r="B2" s="16" t="s">
        <v>460</v>
      </c>
      <c r="C2" s="16" t="s">
        <v>460</v>
      </c>
    </row>
    <row r="3" spans="1:3" x14ac:dyDescent="0.35">
      <c r="A3" s="16" t="s">
        <v>461</v>
      </c>
      <c r="B3" s="16" t="s">
        <v>460</v>
      </c>
      <c r="C3" s="16" t="s">
        <v>460</v>
      </c>
    </row>
    <row r="4" spans="1:3" x14ac:dyDescent="0.35">
      <c r="A4" s="22" t="s">
        <v>464</v>
      </c>
      <c r="B4" s="17" t="s">
        <v>411</v>
      </c>
      <c r="C4" s="16" t="s">
        <v>412</v>
      </c>
    </row>
    <row r="5" spans="1:3" x14ac:dyDescent="0.35">
      <c r="A5" s="18" t="s">
        <v>398</v>
      </c>
      <c r="B5" s="20" t="s">
        <v>399</v>
      </c>
      <c r="C5" s="18" t="s">
        <v>400</v>
      </c>
    </row>
    <row r="6" spans="1:3" x14ac:dyDescent="0.35">
      <c r="A6" s="18" t="s">
        <v>410</v>
      </c>
      <c r="B6" s="23" t="s">
        <v>411</v>
      </c>
      <c r="C6" s="22" t="s">
        <v>412</v>
      </c>
    </row>
    <row r="7" spans="1:3" x14ac:dyDescent="0.35">
      <c r="A7" s="18" t="s">
        <v>414</v>
      </c>
      <c r="B7" s="21" t="s">
        <v>411</v>
      </c>
      <c r="C7" s="22" t="s">
        <v>412</v>
      </c>
    </row>
    <row r="8" spans="1:3" x14ac:dyDescent="0.35">
      <c r="A8" s="16" t="s">
        <v>463</v>
      </c>
      <c r="B8" s="23" t="s">
        <v>409</v>
      </c>
      <c r="C8" s="22" t="s">
        <v>409</v>
      </c>
    </row>
    <row r="9" spans="1:3" x14ac:dyDescent="0.35">
      <c r="A9" s="18" t="s">
        <v>392</v>
      </c>
      <c r="B9" s="16" t="s">
        <v>391</v>
      </c>
      <c r="C9" s="22" t="s">
        <v>401</v>
      </c>
    </row>
    <row r="10" spans="1:3" x14ac:dyDescent="0.35">
      <c r="A10" s="22" t="s">
        <v>413</v>
      </c>
      <c r="B10" s="16" t="s">
        <v>391</v>
      </c>
      <c r="C10" s="16" t="s">
        <v>401</v>
      </c>
    </row>
    <row r="11" spans="1:3" s="24" customFormat="1" x14ac:dyDescent="0.35">
      <c r="A11" s="26" t="s">
        <v>465</v>
      </c>
      <c r="B11" s="27" t="s">
        <v>466</v>
      </c>
      <c r="C11" s="27" t="s">
        <v>466</v>
      </c>
    </row>
    <row r="12" spans="1:3" x14ac:dyDescent="0.35">
      <c r="A12" s="18" t="s">
        <v>405</v>
      </c>
      <c r="B12" s="22" t="s">
        <v>406</v>
      </c>
      <c r="C12" s="22" t="s">
        <v>407</v>
      </c>
    </row>
    <row r="13" spans="1:3" x14ac:dyDescent="0.35">
      <c r="A13" s="18" t="s">
        <v>459</v>
      </c>
      <c r="B13" s="22" t="s">
        <v>406</v>
      </c>
      <c r="C13" s="19" t="s">
        <v>407</v>
      </c>
    </row>
    <row r="14" spans="1:3" x14ac:dyDescent="0.35">
      <c r="A14" s="18" t="s">
        <v>462</v>
      </c>
      <c r="B14" s="22" t="s">
        <v>406</v>
      </c>
      <c r="C14" s="19" t="s">
        <v>407</v>
      </c>
    </row>
    <row r="15" spans="1:3" x14ac:dyDescent="0.35">
      <c r="A15" s="18" t="s">
        <v>395</v>
      </c>
      <c r="B15" s="18" t="s">
        <v>396</v>
      </c>
      <c r="C15" s="18" t="s">
        <v>397</v>
      </c>
    </row>
    <row r="16" spans="1:3" x14ac:dyDescent="0.35">
      <c r="A16" s="18" t="s">
        <v>26</v>
      </c>
      <c r="B16" s="19" t="s">
        <v>362</v>
      </c>
      <c r="C16" s="22" t="s">
        <v>384</v>
      </c>
    </row>
    <row r="17" spans="1:3" x14ac:dyDescent="0.35">
      <c r="A17" s="20" t="s">
        <v>0</v>
      </c>
      <c r="B17" s="22" t="s">
        <v>362</v>
      </c>
      <c r="C17" s="22" t="s">
        <v>384</v>
      </c>
    </row>
  </sheetData>
  <hyperlinks>
    <hyperlink ref="B9" r:id="rId1" xr:uid="{00000000-0004-0000-0400-000000000000}"/>
    <hyperlink ref="C9" r:id="rId2" xr:uid="{00000000-0004-0000-0400-000001000000}"/>
    <hyperlink ref="B8" r:id="rId3" xr:uid="{00000000-0004-0000-0400-000002000000}"/>
    <hyperlink ref="C8" r:id="rId4" xr:uid="{00000000-0004-0000-0400-000003000000}"/>
    <hyperlink ref="C6" r:id="rId5" xr:uid="{00000000-0004-0000-0400-000004000000}"/>
    <hyperlink ref="A10" r:id="rId6" xr:uid="{00000000-0004-0000-0400-000005000000}"/>
    <hyperlink ref="B10" r:id="rId7" xr:uid="{00000000-0004-0000-0400-000006000000}"/>
    <hyperlink ref="C10" r:id="rId8" xr:uid="{00000000-0004-0000-0400-000007000000}"/>
    <hyperlink ref="C7" r:id="rId9" xr:uid="{00000000-0004-0000-0400-000008000000}"/>
    <hyperlink ref="B2" r:id="rId10" xr:uid="{00000000-0004-0000-0400-000009000000}"/>
    <hyperlink ref="C2" r:id="rId11" xr:uid="{00000000-0004-0000-0400-00000A000000}"/>
    <hyperlink ref="A2" r:id="rId12" xr:uid="{00000000-0004-0000-0400-00000B000000}"/>
    <hyperlink ref="A3" r:id="rId13" xr:uid="{00000000-0004-0000-0400-00000C000000}"/>
    <hyperlink ref="B3" r:id="rId14" xr:uid="{00000000-0004-0000-0400-00000D000000}"/>
    <hyperlink ref="C3" r:id="rId15" xr:uid="{00000000-0004-0000-0400-00000E000000}"/>
    <hyperlink ref="A8" r:id="rId16" xr:uid="{00000000-0004-0000-0400-00000F000000}"/>
    <hyperlink ref="C4" r:id="rId17" xr:uid="{00000000-0004-0000-0400-000010000000}"/>
    <hyperlink ref="B11" r:id="rId18" xr:uid="{00000000-0004-0000-0400-000011000000}"/>
    <hyperlink ref="C11" r:id="rId19" xr:uid="{00000000-0004-0000-0400-000012000000}"/>
    <hyperlink ref="B4" r:id="rId20" xr:uid="{00000000-0004-0000-0400-000013000000}"/>
  </hyperlinks>
  <pageMargins left="0.7" right="0.7" top="0.75" bottom="0.75" header="0.3" footer="0.3"/>
  <pageSetup orientation="portrait" r:id="rId21"/>
  <tableParts count="1">
    <tablePart r:id="rId2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G124"/>
  <sheetViews>
    <sheetView topLeftCell="A14" workbookViewId="0">
      <selection activeCell="F5" sqref="F5"/>
    </sheetView>
  </sheetViews>
  <sheetFormatPr defaultColWidth="10.90625" defaultRowHeight="14.5" x14ac:dyDescent="0.35"/>
  <sheetData>
    <row r="1" spans="1:7" x14ac:dyDescent="0.35">
      <c r="A1" t="s">
        <v>363</v>
      </c>
      <c r="B1" t="s">
        <v>353</v>
      </c>
      <c r="C1" t="s">
        <v>354</v>
      </c>
      <c r="D1" t="s">
        <v>364</v>
      </c>
      <c r="E1" t="s">
        <v>356</v>
      </c>
      <c r="F1" t="s">
        <v>358</v>
      </c>
      <c r="G1" t="s">
        <v>365</v>
      </c>
    </row>
    <row r="2" spans="1:7" x14ac:dyDescent="0.35">
      <c r="A2">
        <v>1</v>
      </c>
      <c r="B2">
        <v>202</v>
      </c>
      <c r="C2" t="s">
        <v>0</v>
      </c>
      <c r="D2" t="s">
        <v>1</v>
      </c>
      <c r="E2" t="s">
        <v>2</v>
      </c>
      <c r="F2" t="s">
        <v>4</v>
      </c>
      <c r="G2">
        <v>1</v>
      </c>
    </row>
    <row r="3" spans="1:7" x14ac:dyDescent="0.35">
      <c r="A3">
        <v>2</v>
      </c>
      <c r="B3">
        <v>200</v>
      </c>
      <c r="C3" t="s">
        <v>0</v>
      </c>
      <c r="D3" t="s">
        <v>5</v>
      </c>
      <c r="E3" t="s">
        <v>6</v>
      </c>
      <c r="F3" t="s">
        <v>8</v>
      </c>
      <c r="G3">
        <v>1</v>
      </c>
    </row>
    <row r="4" spans="1:7" x14ac:dyDescent="0.35">
      <c r="A4">
        <v>3</v>
      </c>
      <c r="B4">
        <v>201</v>
      </c>
      <c r="C4" t="s">
        <v>0</v>
      </c>
      <c r="D4" t="s">
        <v>5</v>
      </c>
      <c r="E4" t="s">
        <v>9</v>
      </c>
      <c r="F4" t="s">
        <v>11</v>
      </c>
      <c r="G4">
        <v>1</v>
      </c>
    </row>
    <row r="5" spans="1:7" x14ac:dyDescent="0.35">
      <c r="A5">
        <v>4</v>
      </c>
      <c r="B5">
        <v>118</v>
      </c>
      <c r="C5" t="s">
        <v>0</v>
      </c>
      <c r="D5" t="s">
        <v>1</v>
      </c>
      <c r="E5" t="s">
        <v>12</v>
      </c>
      <c r="F5" t="s">
        <v>14</v>
      </c>
      <c r="G5">
        <v>1</v>
      </c>
    </row>
    <row r="6" spans="1:7" x14ac:dyDescent="0.35">
      <c r="A6">
        <v>5</v>
      </c>
      <c r="B6">
        <v>119</v>
      </c>
      <c r="C6" t="s">
        <v>0</v>
      </c>
      <c r="D6" t="s">
        <v>1</v>
      </c>
      <c r="E6" t="s">
        <v>15</v>
      </c>
      <c r="F6" t="s">
        <v>17</v>
      </c>
      <c r="G6">
        <v>1</v>
      </c>
    </row>
    <row r="7" spans="1:7" x14ac:dyDescent="0.35">
      <c r="A7">
        <v>6</v>
      </c>
      <c r="B7">
        <v>126</v>
      </c>
      <c r="C7" t="s">
        <v>18</v>
      </c>
      <c r="D7" t="s">
        <v>1</v>
      </c>
      <c r="E7" t="s">
        <v>19</v>
      </c>
      <c r="F7" t="s">
        <v>19</v>
      </c>
      <c r="G7">
        <v>1</v>
      </c>
    </row>
    <row r="8" spans="1:7" x14ac:dyDescent="0.35">
      <c r="A8">
        <v>7</v>
      </c>
      <c r="B8">
        <v>130</v>
      </c>
      <c r="C8" t="s">
        <v>366</v>
      </c>
      <c r="D8" t="s">
        <v>22</v>
      </c>
      <c r="E8" t="s">
        <v>23</v>
      </c>
      <c r="F8" t="s">
        <v>25</v>
      </c>
      <c r="G8">
        <v>1</v>
      </c>
    </row>
    <row r="9" spans="1:7" x14ac:dyDescent="0.35">
      <c r="A9">
        <v>8</v>
      </c>
      <c r="B9">
        <v>6501</v>
      </c>
      <c r="C9" t="s">
        <v>26</v>
      </c>
      <c r="D9" t="s">
        <v>1</v>
      </c>
      <c r="E9" t="s">
        <v>367</v>
      </c>
      <c r="F9" t="s">
        <v>29</v>
      </c>
      <c r="G9">
        <v>1</v>
      </c>
    </row>
    <row r="10" spans="1:7" x14ac:dyDescent="0.35">
      <c r="A10">
        <v>9</v>
      </c>
      <c r="B10">
        <v>6502</v>
      </c>
      <c r="C10" t="s">
        <v>26</v>
      </c>
      <c r="D10" t="s">
        <v>1</v>
      </c>
      <c r="E10" t="s">
        <v>368</v>
      </c>
      <c r="F10" t="s">
        <v>32</v>
      </c>
      <c r="G10">
        <v>1</v>
      </c>
    </row>
    <row r="11" spans="1:7" x14ac:dyDescent="0.35">
      <c r="A11">
        <v>10</v>
      </c>
      <c r="B11">
        <v>133</v>
      </c>
      <c r="C11" t="s">
        <v>33</v>
      </c>
      <c r="D11" t="s">
        <v>34</v>
      </c>
      <c r="E11" t="s">
        <v>35</v>
      </c>
      <c r="F11" t="s">
        <v>37</v>
      </c>
      <c r="G11">
        <v>1</v>
      </c>
    </row>
    <row r="12" spans="1:7" x14ac:dyDescent="0.35">
      <c r="A12">
        <v>11</v>
      </c>
      <c r="B12">
        <v>27</v>
      </c>
      <c r="C12" t="s">
        <v>18</v>
      </c>
      <c r="D12" t="s">
        <v>1</v>
      </c>
      <c r="E12" t="s">
        <v>369</v>
      </c>
      <c r="F12" t="s">
        <v>40</v>
      </c>
      <c r="G12">
        <v>1</v>
      </c>
    </row>
    <row r="13" spans="1:7" x14ac:dyDescent="0.35">
      <c r="A13">
        <v>12</v>
      </c>
      <c r="B13">
        <v>28</v>
      </c>
      <c r="C13" t="s">
        <v>18</v>
      </c>
      <c r="D13" t="s">
        <v>1</v>
      </c>
      <c r="E13" t="s">
        <v>41</v>
      </c>
      <c r="F13" t="s">
        <v>43</v>
      </c>
      <c r="G13">
        <v>1</v>
      </c>
    </row>
    <row r="14" spans="1:7" x14ac:dyDescent="0.35">
      <c r="A14">
        <v>13</v>
      </c>
      <c r="B14">
        <v>29</v>
      </c>
      <c r="C14" t="s">
        <v>18</v>
      </c>
      <c r="D14" t="s">
        <v>1</v>
      </c>
      <c r="E14" t="s">
        <v>44</v>
      </c>
      <c r="F14" t="s">
        <v>46</v>
      </c>
      <c r="G14">
        <v>1</v>
      </c>
    </row>
    <row r="15" spans="1:7" x14ac:dyDescent="0.35">
      <c r="A15">
        <v>14</v>
      </c>
      <c r="B15">
        <v>30</v>
      </c>
      <c r="C15" t="s">
        <v>18</v>
      </c>
      <c r="D15" t="s">
        <v>1</v>
      </c>
      <c r="E15" t="s">
        <v>47</v>
      </c>
      <c r="F15" t="s">
        <v>49</v>
      </c>
      <c r="G15">
        <v>1</v>
      </c>
    </row>
    <row r="16" spans="1:7" x14ac:dyDescent="0.35">
      <c r="A16">
        <v>15</v>
      </c>
      <c r="B16">
        <v>31</v>
      </c>
      <c r="C16" t="s">
        <v>18</v>
      </c>
      <c r="D16" t="s">
        <v>1</v>
      </c>
      <c r="E16" t="s">
        <v>50</v>
      </c>
      <c r="F16" t="s">
        <v>52</v>
      </c>
      <c r="G16">
        <v>1</v>
      </c>
    </row>
    <row r="17" spans="1:7" x14ac:dyDescent="0.35">
      <c r="A17">
        <v>16</v>
      </c>
      <c r="B17">
        <v>32</v>
      </c>
      <c r="C17" t="s">
        <v>18</v>
      </c>
      <c r="D17" t="s">
        <v>1</v>
      </c>
      <c r="E17" t="s">
        <v>53</v>
      </c>
      <c r="F17" t="s">
        <v>55</v>
      </c>
      <c r="G17">
        <v>2</v>
      </c>
    </row>
    <row r="18" spans="1:7" x14ac:dyDescent="0.35">
      <c r="A18">
        <v>17</v>
      </c>
      <c r="B18">
        <v>33</v>
      </c>
      <c r="C18" t="s">
        <v>18</v>
      </c>
      <c r="D18" t="s">
        <v>1</v>
      </c>
      <c r="E18" t="s">
        <v>370</v>
      </c>
      <c r="F18" t="s">
        <v>58</v>
      </c>
      <c r="G18">
        <v>2</v>
      </c>
    </row>
    <row r="19" spans="1:7" x14ac:dyDescent="0.35">
      <c r="A19">
        <v>18</v>
      </c>
      <c r="B19">
        <v>117</v>
      </c>
      <c r="C19" t="s">
        <v>18</v>
      </c>
      <c r="D19" t="s">
        <v>1</v>
      </c>
      <c r="E19" t="s">
        <v>59</v>
      </c>
      <c r="F19" t="s">
        <v>61</v>
      </c>
      <c r="G19">
        <v>2</v>
      </c>
    </row>
    <row r="20" spans="1:7" x14ac:dyDescent="0.35">
      <c r="A20">
        <v>19</v>
      </c>
      <c r="B20">
        <v>6503</v>
      </c>
      <c r="C20" t="s">
        <v>18</v>
      </c>
      <c r="D20" t="s">
        <v>1</v>
      </c>
      <c r="E20" t="s">
        <v>371</v>
      </c>
      <c r="F20" t="s">
        <v>64</v>
      </c>
      <c r="G20">
        <v>2</v>
      </c>
    </row>
    <row r="21" spans="1:7" x14ac:dyDescent="0.35">
      <c r="A21">
        <v>20</v>
      </c>
      <c r="B21">
        <v>6504</v>
      </c>
      <c r="C21" t="s">
        <v>18</v>
      </c>
      <c r="D21" t="s">
        <v>1</v>
      </c>
      <c r="E21" t="s">
        <v>65</v>
      </c>
      <c r="F21" t="s">
        <v>67</v>
      </c>
      <c r="G21">
        <v>2</v>
      </c>
    </row>
    <row r="22" spans="1:7" x14ac:dyDescent="0.35">
      <c r="A22">
        <v>21</v>
      </c>
      <c r="B22">
        <v>122</v>
      </c>
      <c r="C22" t="s">
        <v>0</v>
      </c>
      <c r="D22" t="s">
        <v>1</v>
      </c>
      <c r="E22" t="s">
        <v>68</v>
      </c>
      <c r="F22" t="s">
        <v>68</v>
      </c>
      <c r="G22">
        <v>2</v>
      </c>
    </row>
    <row r="23" spans="1:7" x14ac:dyDescent="0.35">
      <c r="A23">
        <v>22</v>
      </c>
      <c r="B23">
        <v>160</v>
      </c>
      <c r="C23" t="s">
        <v>0</v>
      </c>
      <c r="D23" t="s">
        <v>1</v>
      </c>
      <c r="E23" t="s">
        <v>70</v>
      </c>
      <c r="F23" t="s">
        <v>25</v>
      </c>
      <c r="G23">
        <v>2</v>
      </c>
    </row>
    <row r="24" spans="1:7" x14ac:dyDescent="0.35">
      <c r="A24">
        <v>23</v>
      </c>
      <c r="B24">
        <v>6505</v>
      </c>
      <c r="C24" t="s">
        <v>0</v>
      </c>
      <c r="D24" t="s">
        <v>1</v>
      </c>
      <c r="E24" t="s">
        <v>72</v>
      </c>
      <c r="F24" t="s">
        <v>74</v>
      </c>
      <c r="G24">
        <v>2</v>
      </c>
    </row>
    <row r="25" spans="1:7" x14ac:dyDescent="0.35">
      <c r="A25">
        <v>24</v>
      </c>
      <c r="B25">
        <v>6506</v>
      </c>
      <c r="C25" t="s">
        <v>0</v>
      </c>
      <c r="D25" t="s">
        <v>1</v>
      </c>
      <c r="E25" t="s">
        <v>75</v>
      </c>
      <c r="F25" t="s">
        <v>77</v>
      </c>
      <c r="G25">
        <v>2</v>
      </c>
    </row>
    <row r="26" spans="1:7" x14ac:dyDescent="0.35">
      <c r="A26">
        <v>25</v>
      </c>
      <c r="B26">
        <v>6509</v>
      </c>
      <c r="C26" t="s">
        <v>0</v>
      </c>
      <c r="D26" t="s">
        <v>1</v>
      </c>
      <c r="E26" t="s">
        <v>78</v>
      </c>
      <c r="F26" t="s">
        <v>80</v>
      </c>
      <c r="G26">
        <v>2</v>
      </c>
    </row>
    <row r="27" spans="1:7" x14ac:dyDescent="0.35">
      <c r="A27">
        <v>26</v>
      </c>
      <c r="B27">
        <v>131</v>
      </c>
      <c r="C27" t="s">
        <v>0</v>
      </c>
      <c r="D27" t="s">
        <v>1</v>
      </c>
      <c r="E27" t="s">
        <v>81</v>
      </c>
      <c r="F27" t="s">
        <v>83</v>
      </c>
      <c r="G27">
        <v>2</v>
      </c>
    </row>
    <row r="28" spans="1:7" x14ac:dyDescent="0.35">
      <c r="A28">
        <v>27</v>
      </c>
      <c r="B28">
        <v>140</v>
      </c>
      <c r="C28" t="s">
        <v>84</v>
      </c>
      <c r="D28" t="s">
        <v>1</v>
      </c>
      <c r="E28" t="s">
        <v>84</v>
      </c>
      <c r="F28" t="s">
        <v>86</v>
      </c>
      <c r="G28">
        <v>2</v>
      </c>
    </row>
    <row r="29" spans="1:7" x14ac:dyDescent="0.35">
      <c r="A29">
        <v>28</v>
      </c>
      <c r="B29">
        <v>141</v>
      </c>
      <c r="C29" t="s">
        <v>87</v>
      </c>
      <c r="D29" t="s">
        <v>1</v>
      </c>
      <c r="E29" t="s">
        <v>87</v>
      </c>
      <c r="F29" t="s">
        <v>89</v>
      </c>
      <c r="G29">
        <v>2</v>
      </c>
    </row>
    <row r="30" spans="1:7" x14ac:dyDescent="0.35">
      <c r="A30">
        <v>29</v>
      </c>
      <c r="B30">
        <v>142</v>
      </c>
      <c r="C30" t="s">
        <v>90</v>
      </c>
      <c r="D30" t="s">
        <v>1</v>
      </c>
      <c r="E30" t="s">
        <v>90</v>
      </c>
      <c r="F30" t="s">
        <v>92</v>
      </c>
      <c r="G30">
        <v>2</v>
      </c>
    </row>
    <row r="31" spans="1:7" x14ac:dyDescent="0.35">
      <c r="A31">
        <v>30</v>
      </c>
      <c r="B31">
        <v>18</v>
      </c>
      <c r="C31" t="s">
        <v>18</v>
      </c>
      <c r="D31" t="s">
        <v>1</v>
      </c>
      <c r="E31" t="s">
        <v>65</v>
      </c>
      <c r="F31" t="s">
        <v>94</v>
      </c>
      <c r="G31">
        <v>3</v>
      </c>
    </row>
    <row r="32" spans="1:7" x14ac:dyDescent="0.35">
      <c r="A32">
        <v>31</v>
      </c>
      <c r="B32">
        <v>26</v>
      </c>
      <c r="C32" t="s">
        <v>18</v>
      </c>
      <c r="D32" t="s">
        <v>1</v>
      </c>
      <c r="E32" t="s">
        <v>95</v>
      </c>
      <c r="F32" t="s">
        <v>97</v>
      </c>
      <c r="G32">
        <v>3</v>
      </c>
    </row>
    <row r="33" spans="1:7" x14ac:dyDescent="0.35">
      <c r="A33">
        <v>32</v>
      </c>
      <c r="B33">
        <v>34</v>
      </c>
      <c r="C33" t="s">
        <v>18</v>
      </c>
      <c r="D33" t="s">
        <v>1</v>
      </c>
      <c r="E33" t="s">
        <v>98</v>
      </c>
      <c r="F33" t="s">
        <v>100</v>
      </c>
      <c r="G33">
        <v>3</v>
      </c>
    </row>
    <row r="34" spans="1:7" x14ac:dyDescent="0.35">
      <c r="A34">
        <v>33</v>
      </c>
      <c r="B34">
        <v>35</v>
      </c>
      <c r="C34" t="s">
        <v>18</v>
      </c>
      <c r="D34" t="s">
        <v>1</v>
      </c>
      <c r="E34" t="s">
        <v>101</v>
      </c>
      <c r="F34" t="s">
        <v>103</v>
      </c>
      <c r="G34">
        <v>3</v>
      </c>
    </row>
    <row r="35" spans="1:7" x14ac:dyDescent="0.35">
      <c r="A35">
        <v>34</v>
      </c>
      <c r="B35">
        <v>36</v>
      </c>
      <c r="C35" t="s">
        <v>18</v>
      </c>
      <c r="D35" t="s">
        <v>1</v>
      </c>
      <c r="E35" t="s">
        <v>104</v>
      </c>
      <c r="F35" t="s">
        <v>106</v>
      </c>
      <c r="G35">
        <v>3</v>
      </c>
    </row>
    <row r="36" spans="1:7" x14ac:dyDescent="0.35">
      <c r="A36">
        <v>35</v>
      </c>
      <c r="B36">
        <v>37</v>
      </c>
      <c r="C36" t="s">
        <v>18</v>
      </c>
      <c r="D36" t="s">
        <v>1</v>
      </c>
      <c r="E36" t="s">
        <v>107</v>
      </c>
      <c r="F36" t="s">
        <v>109</v>
      </c>
      <c r="G36">
        <v>3</v>
      </c>
    </row>
    <row r="37" spans="1:7" x14ac:dyDescent="0.35">
      <c r="A37">
        <v>36</v>
      </c>
      <c r="B37">
        <v>40</v>
      </c>
      <c r="C37" t="s">
        <v>18</v>
      </c>
      <c r="D37" t="s">
        <v>1</v>
      </c>
      <c r="E37" t="s">
        <v>110</v>
      </c>
      <c r="F37" t="s">
        <v>112</v>
      </c>
      <c r="G37">
        <v>3</v>
      </c>
    </row>
    <row r="38" spans="1:7" x14ac:dyDescent="0.35">
      <c r="A38">
        <v>37</v>
      </c>
      <c r="B38">
        <v>41</v>
      </c>
      <c r="C38" t="s">
        <v>18</v>
      </c>
      <c r="D38" t="s">
        <v>1</v>
      </c>
      <c r="E38" t="s">
        <v>113</v>
      </c>
      <c r="F38" t="s">
        <v>115</v>
      </c>
      <c r="G38">
        <v>3</v>
      </c>
    </row>
    <row r="39" spans="1:7" x14ac:dyDescent="0.35">
      <c r="A39">
        <v>38</v>
      </c>
      <c r="B39">
        <v>42</v>
      </c>
      <c r="C39" t="s">
        <v>18</v>
      </c>
      <c r="D39" t="s">
        <v>1</v>
      </c>
      <c r="E39" t="s">
        <v>116</v>
      </c>
      <c r="F39" t="s">
        <v>118</v>
      </c>
      <c r="G39">
        <v>3</v>
      </c>
    </row>
    <row r="40" spans="1:7" x14ac:dyDescent="0.35">
      <c r="A40">
        <v>39</v>
      </c>
      <c r="B40">
        <v>43</v>
      </c>
      <c r="C40" t="s">
        <v>18</v>
      </c>
      <c r="D40" t="s">
        <v>1</v>
      </c>
      <c r="E40" t="s">
        <v>119</v>
      </c>
      <c r="F40" t="s">
        <v>121</v>
      </c>
      <c r="G40">
        <v>3</v>
      </c>
    </row>
    <row r="41" spans="1:7" x14ac:dyDescent="0.35">
      <c r="A41">
        <v>40</v>
      </c>
      <c r="B41">
        <v>44</v>
      </c>
      <c r="C41" t="s">
        <v>18</v>
      </c>
      <c r="D41" t="s">
        <v>1</v>
      </c>
      <c r="E41" t="s">
        <v>122</v>
      </c>
      <c r="F41" t="s">
        <v>124</v>
      </c>
      <c r="G41">
        <v>3</v>
      </c>
    </row>
    <row r="42" spans="1:7" x14ac:dyDescent="0.35">
      <c r="A42">
        <v>41</v>
      </c>
      <c r="B42">
        <v>45</v>
      </c>
      <c r="C42" t="s">
        <v>18</v>
      </c>
      <c r="D42" t="s">
        <v>1</v>
      </c>
      <c r="E42" t="s">
        <v>125</v>
      </c>
      <c r="F42" t="s">
        <v>127</v>
      </c>
      <c r="G42">
        <v>3</v>
      </c>
    </row>
    <row r="43" spans="1:7" x14ac:dyDescent="0.35">
      <c r="A43">
        <v>42</v>
      </c>
      <c r="B43">
        <v>47</v>
      </c>
      <c r="C43" t="s">
        <v>18</v>
      </c>
      <c r="D43" t="s">
        <v>1</v>
      </c>
      <c r="E43" t="s">
        <v>128</v>
      </c>
      <c r="F43" t="s">
        <v>130</v>
      </c>
      <c r="G43">
        <v>3</v>
      </c>
    </row>
    <row r="44" spans="1:7" x14ac:dyDescent="0.35">
      <c r="A44">
        <v>43</v>
      </c>
      <c r="B44">
        <v>48</v>
      </c>
      <c r="C44" t="s">
        <v>18</v>
      </c>
      <c r="D44" t="s">
        <v>1</v>
      </c>
      <c r="E44" t="s">
        <v>131</v>
      </c>
      <c r="F44" t="s">
        <v>133</v>
      </c>
      <c r="G44">
        <v>3</v>
      </c>
    </row>
    <row r="45" spans="1:7" x14ac:dyDescent="0.35">
      <c r="A45">
        <v>44</v>
      </c>
      <c r="B45">
        <v>49</v>
      </c>
      <c r="C45" t="s">
        <v>18</v>
      </c>
      <c r="D45" t="s">
        <v>1</v>
      </c>
      <c r="E45" t="s">
        <v>134</v>
      </c>
      <c r="F45" t="s">
        <v>136</v>
      </c>
      <c r="G45">
        <v>3</v>
      </c>
    </row>
    <row r="46" spans="1:7" x14ac:dyDescent="0.35">
      <c r="A46">
        <v>45</v>
      </c>
      <c r="B46">
        <v>50</v>
      </c>
      <c r="C46" t="s">
        <v>18</v>
      </c>
      <c r="D46" t="s">
        <v>1</v>
      </c>
      <c r="E46" t="s">
        <v>137</v>
      </c>
      <c r="F46" t="s">
        <v>139</v>
      </c>
      <c r="G46">
        <v>4</v>
      </c>
    </row>
    <row r="47" spans="1:7" x14ac:dyDescent="0.35">
      <c r="A47">
        <v>46</v>
      </c>
      <c r="B47">
        <v>51</v>
      </c>
      <c r="C47" t="s">
        <v>0</v>
      </c>
      <c r="D47" t="s">
        <v>1</v>
      </c>
      <c r="E47" t="s">
        <v>140</v>
      </c>
      <c r="F47" t="s">
        <v>140</v>
      </c>
      <c r="G47">
        <v>4</v>
      </c>
    </row>
    <row r="48" spans="1:7" x14ac:dyDescent="0.35">
      <c r="A48">
        <v>47</v>
      </c>
      <c r="B48">
        <v>78</v>
      </c>
      <c r="C48" t="s">
        <v>18</v>
      </c>
      <c r="D48" t="s">
        <v>1</v>
      </c>
      <c r="E48" t="s">
        <v>142</v>
      </c>
      <c r="F48" t="s">
        <v>144</v>
      </c>
      <c r="G48">
        <v>4</v>
      </c>
    </row>
    <row r="49" spans="1:7" x14ac:dyDescent="0.35">
      <c r="A49">
        <v>48</v>
      </c>
      <c r="B49">
        <v>92</v>
      </c>
      <c r="C49" t="s">
        <v>18</v>
      </c>
      <c r="D49" t="s">
        <v>1</v>
      </c>
      <c r="E49" t="s">
        <v>145</v>
      </c>
      <c r="F49" t="s">
        <v>147</v>
      </c>
      <c r="G49">
        <v>4</v>
      </c>
    </row>
    <row r="50" spans="1:7" x14ac:dyDescent="0.35">
      <c r="A50">
        <v>49</v>
      </c>
      <c r="B50">
        <v>52</v>
      </c>
      <c r="C50" t="s">
        <v>18</v>
      </c>
      <c r="D50" t="s">
        <v>1</v>
      </c>
      <c r="E50" t="s">
        <v>148</v>
      </c>
      <c r="F50" t="s">
        <v>150</v>
      </c>
      <c r="G50">
        <v>4</v>
      </c>
    </row>
    <row r="51" spans="1:7" x14ac:dyDescent="0.35">
      <c r="A51">
        <v>50</v>
      </c>
      <c r="B51">
        <v>60</v>
      </c>
      <c r="C51" t="s">
        <v>18</v>
      </c>
      <c r="D51" t="s">
        <v>1</v>
      </c>
      <c r="E51" t="s">
        <v>372</v>
      </c>
      <c r="F51" t="s">
        <v>153</v>
      </c>
      <c r="G51">
        <v>4</v>
      </c>
    </row>
    <row r="52" spans="1:7" x14ac:dyDescent="0.35">
      <c r="A52">
        <v>51</v>
      </c>
      <c r="B52">
        <v>65</v>
      </c>
      <c r="C52" t="s">
        <v>18</v>
      </c>
      <c r="D52" t="s">
        <v>1</v>
      </c>
      <c r="E52" t="s">
        <v>154</v>
      </c>
      <c r="F52" t="s">
        <v>156</v>
      </c>
      <c r="G52">
        <v>4</v>
      </c>
    </row>
    <row r="53" spans="1:7" x14ac:dyDescent="0.35">
      <c r="A53">
        <v>52</v>
      </c>
      <c r="B53">
        <v>66</v>
      </c>
      <c r="C53" t="s">
        <v>18</v>
      </c>
      <c r="D53" t="s">
        <v>1</v>
      </c>
      <c r="E53" t="s">
        <v>157</v>
      </c>
      <c r="F53" t="s">
        <v>159</v>
      </c>
      <c r="G53">
        <v>4</v>
      </c>
    </row>
    <row r="54" spans="1:7" x14ac:dyDescent="0.35">
      <c r="A54">
        <v>53</v>
      </c>
      <c r="B54">
        <v>67</v>
      </c>
      <c r="C54" t="s">
        <v>18</v>
      </c>
      <c r="D54" t="s">
        <v>1</v>
      </c>
      <c r="E54" t="s">
        <v>160</v>
      </c>
      <c r="F54" t="s">
        <v>162</v>
      </c>
      <c r="G54">
        <v>4</v>
      </c>
    </row>
    <row r="55" spans="1:7" x14ac:dyDescent="0.35">
      <c r="A55">
        <v>54</v>
      </c>
      <c r="B55">
        <v>61</v>
      </c>
      <c r="C55" t="s">
        <v>18</v>
      </c>
      <c r="D55" t="s">
        <v>1</v>
      </c>
      <c r="E55" t="s">
        <v>163</v>
      </c>
      <c r="F55" t="s">
        <v>165</v>
      </c>
      <c r="G55">
        <v>4</v>
      </c>
    </row>
    <row r="56" spans="1:7" x14ac:dyDescent="0.35">
      <c r="A56">
        <v>55</v>
      </c>
      <c r="B56">
        <v>62</v>
      </c>
      <c r="C56" t="s">
        <v>18</v>
      </c>
      <c r="D56" t="s">
        <v>1</v>
      </c>
      <c r="E56" t="s">
        <v>166</v>
      </c>
      <c r="F56" t="s">
        <v>168</v>
      </c>
      <c r="G56">
        <v>4</v>
      </c>
    </row>
    <row r="57" spans="1:7" x14ac:dyDescent="0.35">
      <c r="A57">
        <v>56</v>
      </c>
      <c r="B57">
        <v>63</v>
      </c>
      <c r="C57" t="s">
        <v>18</v>
      </c>
      <c r="D57" t="s">
        <v>1</v>
      </c>
      <c r="E57" t="s">
        <v>169</v>
      </c>
      <c r="F57" t="s">
        <v>171</v>
      </c>
      <c r="G57">
        <v>4</v>
      </c>
    </row>
    <row r="58" spans="1:7" x14ac:dyDescent="0.35">
      <c r="A58">
        <v>57</v>
      </c>
      <c r="B58">
        <v>64</v>
      </c>
      <c r="C58" t="s">
        <v>18</v>
      </c>
      <c r="D58" t="s">
        <v>1</v>
      </c>
      <c r="E58" t="s">
        <v>172</v>
      </c>
      <c r="F58" t="s">
        <v>174</v>
      </c>
      <c r="G58">
        <v>4</v>
      </c>
    </row>
    <row r="59" spans="1:7" x14ac:dyDescent="0.35">
      <c r="A59">
        <v>58</v>
      </c>
      <c r="B59">
        <v>77</v>
      </c>
      <c r="C59" t="s">
        <v>0</v>
      </c>
      <c r="D59" t="s">
        <v>1</v>
      </c>
      <c r="E59" t="s">
        <v>175</v>
      </c>
      <c r="F59" t="s">
        <v>177</v>
      </c>
      <c r="G59">
        <v>4</v>
      </c>
    </row>
    <row r="60" spans="1:7" x14ac:dyDescent="0.35">
      <c r="A60">
        <v>59</v>
      </c>
      <c r="B60">
        <v>79</v>
      </c>
      <c r="C60" t="s">
        <v>18</v>
      </c>
      <c r="D60" t="s">
        <v>1</v>
      </c>
      <c r="E60" t="s">
        <v>178</v>
      </c>
      <c r="F60" t="s">
        <v>180</v>
      </c>
      <c r="G60">
        <v>4</v>
      </c>
    </row>
    <row r="61" spans="1:7" x14ac:dyDescent="0.35">
      <c r="A61">
        <v>60</v>
      </c>
      <c r="B61">
        <v>80</v>
      </c>
      <c r="C61" t="s">
        <v>18</v>
      </c>
      <c r="D61" t="s">
        <v>1</v>
      </c>
      <c r="E61" t="s">
        <v>181</v>
      </c>
      <c r="F61" t="s">
        <v>168</v>
      </c>
      <c r="G61">
        <v>5</v>
      </c>
    </row>
    <row r="62" spans="1:7" x14ac:dyDescent="0.35">
      <c r="A62">
        <v>61</v>
      </c>
      <c r="B62">
        <v>82</v>
      </c>
      <c r="C62" t="s">
        <v>18</v>
      </c>
      <c r="D62" t="s">
        <v>1</v>
      </c>
      <c r="E62" t="s">
        <v>183</v>
      </c>
      <c r="F62" t="s">
        <v>185</v>
      </c>
      <c r="G62">
        <v>5</v>
      </c>
    </row>
    <row r="63" spans="1:7" x14ac:dyDescent="0.35">
      <c r="A63">
        <v>62</v>
      </c>
      <c r="B63">
        <v>81</v>
      </c>
      <c r="C63" t="s">
        <v>18</v>
      </c>
      <c r="D63" t="s">
        <v>1</v>
      </c>
      <c r="E63" t="s">
        <v>186</v>
      </c>
      <c r="F63" t="s">
        <v>188</v>
      </c>
      <c r="G63">
        <v>5</v>
      </c>
    </row>
    <row r="64" spans="1:7" x14ac:dyDescent="0.35">
      <c r="A64">
        <v>63</v>
      </c>
      <c r="B64">
        <v>46</v>
      </c>
      <c r="C64" t="s">
        <v>18</v>
      </c>
      <c r="D64" t="s">
        <v>1</v>
      </c>
      <c r="E64" t="s">
        <v>189</v>
      </c>
      <c r="F64" t="s">
        <v>191</v>
      </c>
      <c r="G64">
        <v>5</v>
      </c>
    </row>
    <row r="65" spans="1:7" x14ac:dyDescent="0.35">
      <c r="A65">
        <v>64</v>
      </c>
      <c r="B65">
        <v>39</v>
      </c>
      <c r="C65" t="s">
        <v>18</v>
      </c>
      <c r="D65" t="s">
        <v>1</v>
      </c>
      <c r="E65" t="s">
        <v>192</v>
      </c>
      <c r="F65" t="s">
        <v>194</v>
      </c>
      <c r="G65">
        <v>5</v>
      </c>
    </row>
    <row r="66" spans="1:7" x14ac:dyDescent="0.35">
      <c r="A66">
        <v>65</v>
      </c>
      <c r="B66">
        <v>81</v>
      </c>
      <c r="C66" t="s">
        <v>18</v>
      </c>
      <c r="D66" t="s">
        <v>1</v>
      </c>
      <c r="E66" t="s">
        <v>186</v>
      </c>
      <c r="F66" t="s">
        <v>188</v>
      </c>
      <c r="G66">
        <v>5</v>
      </c>
    </row>
    <row r="67" spans="1:7" x14ac:dyDescent="0.35">
      <c r="A67">
        <v>66</v>
      </c>
      <c r="B67">
        <v>83</v>
      </c>
      <c r="C67" t="s">
        <v>18</v>
      </c>
      <c r="D67" t="s">
        <v>1</v>
      </c>
      <c r="E67" t="s">
        <v>195</v>
      </c>
      <c r="F67" t="s">
        <v>195</v>
      </c>
      <c r="G67">
        <v>5</v>
      </c>
    </row>
    <row r="68" spans="1:7" x14ac:dyDescent="0.35">
      <c r="A68">
        <v>67</v>
      </c>
      <c r="B68">
        <v>84</v>
      </c>
      <c r="C68" t="s">
        <v>18</v>
      </c>
      <c r="D68" t="s">
        <v>1</v>
      </c>
      <c r="E68" t="s">
        <v>197</v>
      </c>
      <c r="F68" t="s">
        <v>199</v>
      </c>
      <c r="G68">
        <v>5</v>
      </c>
    </row>
    <row r="69" spans="1:7" x14ac:dyDescent="0.35">
      <c r="A69">
        <v>68</v>
      </c>
      <c r="B69">
        <v>85</v>
      </c>
      <c r="C69" t="s">
        <v>18</v>
      </c>
      <c r="D69" t="s">
        <v>1</v>
      </c>
      <c r="E69" t="s">
        <v>200</v>
      </c>
      <c r="F69" t="s">
        <v>202</v>
      </c>
      <c r="G69">
        <v>5</v>
      </c>
    </row>
    <row r="70" spans="1:7" x14ac:dyDescent="0.35">
      <c r="A70">
        <v>69</v>
      </c>
      <c r="B70">
        <v>86</v>
      </c>
      <c r="C70" t="s">
        <v>18</v>
      </c>
      <c r="D70" t="s">
        <v>1</v>
      </c>
      <c r="E70" t="s">
        <v>203</v>
      </c>
      <c r="F70" t="s">
        <v>205</v>
      </c>
      <c r="G70">
        <v>5</v>
      </c>
    </row>
    <row r="71" spans="1:7" x14ac:dyDescent="0.35">
      <c r="A71">
        <v>70</v>
      </c>
      <c r="B71">
        <v>87</v>
      </c>
      <c r="C71" t="s">
        <v>18</v>
      </c>
      <c r="D71" t="s">
        <v>1</v>
      </c>
      <c r="E71" t="s">
        <v>206</v>
      </c>
      <c r="F71" t="s">
        <v>208</v>
      </c>
      <c r="G71">
        <v>5</v>
      </c>
    </row>
    <row r="72" spans="1:7" x14ac:dyDescent="0.35">
      <c r="A72">
        <v>71</v>
      </c>
      <c r="B72">
        <v>88</v>
      </c>
      <c r="C72" t="s">
        <v>18</v>
      </c>
      <c r="D72" t="s">
        <v>1</v>
      </c>
      <c r="E72" t="s">
        <v>209</v>
      </c>
      <c r="F72" t="s">
        <v>211</v>
      </c>
      <c r="G72">
        <v>5</v>
      </c>
    </row>
    <row r="73" spans="1:7" x14ac:dyDescent="0.35">
      <c r="A73">
        <v>72</v>
      </c>
      <c r="B73">
        <v>83</v>
      </c>
      <c r="C73" t="s">
        <v>18</v>
      </c>
      <c r="D73" t="s">
        <v>1</v>
      </c>
      <c r="E73" t="s">
        <v>195</v>
      </c>
      <c r="F73" t="s">
        <v>195</v>
      </c>
      <c r="G73">
        <v>5</v>
      </c>
    </row>
    <row r="74" spans="1:7" x14ac:dyDescent="0.35">
      <c r="A74">
        <v>73</v>
      </c>
      <c r="B74">
        <v>90</v>
      </c>
      <c r="C74" t="s">
        <v>18</v>
      </c>
      <c r="D74" t="s">
        <v>212</v>
      </c>
      <c r="E74" t="s">
        <v>213</v>
      </c>
      <c r="F74" t="s">
        <v>215</v>
      </c>
      <c r="G74">
        <v>5</v>
      </c>
    </row>
    <row r="75" spans="1:7" x14ac:dyDescent="0.35">
      <c r="A75">
        <v>74</v>
      </c>
      <c r="B75">
        <v>93</v>
      </c>
      <c r="C75" t="s">
        <v>18</v>
      </c>
      <c r="D75" t="s">
        <v>1</v>
      </c>
      <c r="E75" t="s">
        <v>216</v>
      </c>
      <c r="F75" t="s">
        <v>218</v>
      </c>
      <c r="G75">
        <v>5</v>
      </c>
    </row>
    <row r="76" spans="1:7" x14ac:dyDescent="0.35">
      <c r="A76">
        <v>75</v>
      </c>
      <c r="B76">
        <v>94</v>
      </c>
      <c r="C76" t="s">
        <v>18</v>
      </c>
      <c r="D76" t="s">
        <v>1</v>
      </c>
      <c r="E76" t="s">
        <v>219</v>
      </c>
      <c r="F76" t="s">
        <v>98</v>
      </c>
      <c r="G76">
        <v>6</v>
      </c>
    </row>
    <row r="77" spans="1:7" x14ac:dyDescent="0.35">
      <c r="A77">
        <v>76</v>
      </c>
      <c r="B77">
        <v>91</v>
      </c>
      <c r="C77" t="s">
        <v>0</v>
      </c>
      <c r="D77" t="s">
        <v>1</v>
      </c>
      <c r="E77" t="s">
        <v>221</v>
      </c>
      <c r="F77" t="s">
        <v>223</v>
      </c>
      <c r="G77">
        <v>6</v>
      </c>
    </row>
    <row r="78" spans="1:7" x14ac:dyDescent="0.35">
      <c r="A78">
        <v>77</v>
      </c>
      <c r="B78">
        <v>95</v>
      </c>
      <c r="C78" t="s">
        <v>18</v>
      </c>
      <c r="D78" t="s">
        <v>1</v>
      </c>
      <c r="E78" t="s">
        <v>224</v>
      </c>
      <c r="F78" t="s">
        <v>226</v>
      </c>
      <c r="G78">
        <v>6</v>
      </c>
    </row>
    <row r="79" spans="1:7" x14ac:dyDescent="0.35">
      <c r="A79">
        <v>78</v>
      </c>
      <c r="B79">
        <v>100</v>
      </c>
      <c r="C79" t="s">
        <v>0</v>
      </c>
      <c r="D79" t="s">
        <v>1</v>
      </c>
      <c r="E79" t="s">
        <v>227</v>
      </c>
      <c r="F79" t="s">
        <v>227</v>
      </c>
      <c r="G79">
        <v>6</v>
      </c>
    </row>
    <row r="80" spans="1:7" x14ac:dyDescent="0.35">
      <c r="A80">
        <v>79</v>
      </c>
      <c r="B80">
        <v>70</v>
      </c>
      <c r="C80" t="s">
        <v>0</v>
      </c>
      <c r="D80" t="s">
        <v>1</v>
      </c>
      <c r="E80" t="s">
        <v>229</v>
      </c>
      <c r="F80" t="s">
        <v>231</v>
      </c>
      <c r="G80">
        <v>6</v>
      </c>
    </row>
    <row r="81" spans="1:7" x14ac:dyDescent="0.35">
      <c r="A81">
        <v>80</v>
      </c>
      <c r="B81">
        <v>96</v>
      </c>
      <c r="C81" t="s">
        <v>18</v>
      </c>
      <c r="D81" t="s">
        <v>1</v>
      </c>
      <c r="E81" t="s">
        <v>232</v>
      </c>
      <c r="F81" t="s">
        <v>234</v>
      </c>
      <c r="G81">
        <v>6</v>
      </c>
    </row>
    <row r="82" spans="1:7" x14ac:dyDescent="0.35">
      <c r="A82">
        <v>81</v>
      </c>
      <c r="B82">
        <v>97</v>
      </c>
      <c r="C82" t="s">
        <v>0</v>
      </c>
      <c r="D82" t="s">
        <v>1</v>
      </c>
      <c r="E82" t="s">
        <v>235</v>
      </c>
      <c r="F82" t="s">
        <v>235</v>
      </c>
      <c r="G82">
        <v>6</v>
      </c>
    </row>
    <row r="83" spans="1:7" x14ac:dyDescent="0.35">
      <c r="A83">
        <v>82</v>
      </c>
      <c r="B83">
        <v>98</v>
      </c>
      <c r="C83" t="s">
        <v>0</v>
      </c>
      <c r="D83" t="s">
        <v>1</v>
      </c>
      <c r="E83" t="s">
        <v>237</v>
      </c>
      <c r="F83" t="s">
        <v>237</v>
      </c>
      <c r="G83">
        <v>6</v>
      </c>
    </row>
    <row r="84" spans="1:7" x14ac:dyDescent="0.35">
      <c r="A84">
        <v>83</v>
      </c>
      <c r="B84">
        <v>99</v>
      </c>
      <c r="C84" t="s">
        <v>0</v>
      </c>
      <c r="D84" t="s">
        <v>1</v>
      </c>
      <c r="E84" t="s">
        <v>239</v>
      </c>
      <c r="F84" t="s">
        <v>239</v>
      </c>
      <c r="G84">
        <v>6</v>
      </c>
    </row>
    <row r="85" spans="1:7" x14ac:dyDescent="0.35">
      <c r="A85">
        <v>84</v>
      </c>
      <c r="B85">
        <v>101</v>
      </c>
      <c r="C85" t="s">
        <v>0</v>
      </c>
      <c r="D85" t="s">
        <v>1</v>
      </c>
      <c r="E85" t="s">
        <v>241</v>
      </c>
      <c r="F85" t="s">
        <v>243</v>
      </c>
      <c r="G85">
        <v>6</v>
      </c>
    </row>
    <row r="86" spans="1:7" x14ac:dyDescent="0.35">
      <c r="A86">
        <v>85</v>
      </c>
      <c r="B86">
        <v>74</v>
      </c>
      <c r="C86" t="s">
        <v>0</v>
      </c>
      <c r="D86" t="s">
        <v>1</v>
      </c>
      <c r="E86" t="s">
        <v>244</v>
      </c>
      <c r="F86" t="s">
        <v>244</v>
      </c>
      <c r="G86">
        <v>6</v>
      </c>
    </row>
    <row r="87" spans="1:7" x14ac:dyDescent="0.35">
      <c r="A87">
        <v>86</v>
      </c>
      <c r="B87">
        <v>73</v>
      </c>
      <c r="C87" t="s">
        <v>0</v>
      </c>
      <c r="D87" t="s">
        <v>1</v>
      </c>
      <c r="E87" t="s">
        <v>246</v>
      </c>
      <c r="F87" t="s">
        <v>246</v>
      </c>
      <c r="G87">
        <v>6</v>
      </c>
    </row>
    <row r="88" spans="1:7" x14ac:dyDescent="0.35">
      <c r="A88">
        <v>87</v>
      </c>
      <c r="B88">
        <v>71</v>
      </c>
      <c r="C88" t="s">
        <v>0</v>
      </c>
      <c r="D88" t="s">
        <v>1</v>
      </c>
      <c r="E88" t="s">
        <v>248</v>
      </c>
      <c r="F88" t="s">
        <v>248</v>
      </c>
      <c r="G88">
        <v>6</v>
      </c>
    </row>
    <row r="89" spans="1:7" x14ac:dyDescent="0.35">
      <c r="A89">
        <v>88</v>
      </c>
      <c r="B89">
        <v>102</v>
      </c>
      <c r="C89" t="s">
        <v>0</v>
      </c>
      <c r="D89" t="s">
        <v>1</v>
      </c>
      <c r="E89" t="s">
        <v>250</v>
      </c>
      <c r="F89" t="s">
        <v>250</v>
      </c>
      <c r="G89">
        <v>6</v>
      </c>
    </row>
    <row r="90" spans="1:7" x14ac:dyDescent="0.35">
      <c r="A90">
        <v>89</v>
      </c>
      <c r="B90">
        <v>76</v>
      </c>
      <c r="C90" t="s">
        <v>0</v>
      </c>
      <c r="D90" t="s">
        <v>1</v>
      </c>
      <c r="E90" t="s">
        <v>252</v>
      </c>
      <c r="F90" t="s">
        <v>252</v>
      </c>
      <c r="G90">
        <v>6</v>
      </c>
    </row>
    <row r="91" spans="1:7" x14ac:dyDescent="0.35">
      <c r="A91">
        <v>90</v>
      </c>
      <c r="B91">
        <v>103</v>
      </c>
      <c r="C91" t="s">
        <v>0</v>
      </c>
      <c r="D91" t="s">
        <v>1</v>
      </c>
      <c r="E91" t="s">
        <v>254</v>
      </c>
      <c r="F91" t="s">
        <v>254</v>
      </c>
      <c r="G91">
        <v>7</v>
      </c>
    </row>
    <row r="92" spans="1:7" x14ac:dyDescent="0.35">
      <c r="A92">
        <v>91</v>
      </c>
      <c r="B92">
        <v>75</v>
      </c>
      <c r="C92" t="s">
        <v>0</v>
      </c>
      <c r="D92" t="s">
        <v>1</v>
      </c>
      <c r="E92" t="s">
        <v>256</v>
      </c>
      <c r="F92" t="s">
        <v>258</v>
      </c>
      <c r="G92">
        <v>7</v>
      </c>
    </row>
    <row r="93" spans="1:7" x14ac:dyDescent="0.35">
      <c r="A93">
        <v>92</v>
      </c>
      <c r="B93">
        <v>104</v>
      </c>
      <c r="C93" t="s">
        <v>18</v>
      </c>
      <c r="D93" t="s">
        <v>1</v>
      </c>
      <c r="E93" t="s">
        <v>259</v>
      </c>
      <c r="F93" t="s">
        <v>261</v>
      </c>
      <c r="G93">
        <v>7</v>
      </c>
    </row>
    <row r="94" spans="1:7" x14ac:dyDescent="0.35">
      <c r="A94">
        <v>93</v>
      </c>
      <c r="B94">
        <v>105</v>
      </c>
      <c r="C94" t="s">
        <v>0</v>
      </c>
      <c r="D94" t="s">
        <v>1</v>
      </c>
      <c r="E94" t="s">
        <v>262</v>
      </c>
      <c r="F94" t="s">
        <v>262</v>
      </c>
      <c r="G94">
        <v>7</v>
      </c>
    </row>
    <row r="95" spans="1:7" x14ac:dyDescent="0.35">
      <c r="A95">
        <v>94</v>
      </c>
      <c r="B95">
        <v>106</v>
      </c>
      <c r="C95" t="s">
        <v>18</v>
      </c>
      <c r="D95" t="s">
        <v>1</v>
      </c>
      <c r="E95" t="s">
        <v>169</v>
      </c>
      <c r="F95" t="s">
        <v>265</v>
      </c>
      <c r="G95">
        <v>7</v>
      </c>
    </row>
    <row r="96" spans="1:7" x14ac:dyDescent="0.35">
      <c r="A96">
        <v>95</v>
      </c>
      <c r="B96">
        <v>107</v>
      </c>
      <c r="C96" t="s">
        <v>266</v>
      </c>
      <c r="D96" t="s">
        <v>212</v>
      </c>
      <c r="E96" t="s">
        <v>373</v>
      </c>
      <c r="F96" t="s">
        <v>269</v>
      </c>
      <c r="G96">
        <v>7</v>
      </c>
    </row>
    <row r="97" spans="1:7" x14ac:dyDescent="0.35">
      <c r="A97">
        <v>96</v>
      </c>
      <c r="B97">
        <v>108</v>
      </c>
      <c r="C97" t="s">
        <v>0</v>
      </c>
      <c r="D97" t="s">
        <v>1</v>
      </c>
      <c r="E97" t="s">
        <v>270</v>
      </c>
      <c r="F97" t="s">
        <v>272</v>
      </c>
      <c r="G97">
        <v>7</v>
      </c>
    </row>
    <row r="98" spans="1:7" x14ac:dyDescent="0.35">
      <c r="A98">
        <v>97</v>
      </c>
      <c r="B98">
        <v>110</v>
      </c>
      <c r="C98" t="s">
        <v>0</v>
      </c>
      <c r="D98" t="s">
        <v>1</v>
      </c>
      <c r="E98" t="s">
        <v>273</v>
      </c>
      <c r="F98" t="s">
        <v>273</v>
      </c>
      <c r="G98">
        <v>7</v>
      </c>
    </row>
    <row r="99" spans="1:7" x14ac:dyDescent="0.35">
      <c r="A99">
        <v>98</v>
      </c>
      <c r="B99">
        <v>111</v>
      </c>
      <c r="C99" t="s">
        <v>0</v>
      </c>
      <c r="D99" t="s">
        <v>1</v>
      </c>
      <c r="E99" t="s">
        <v>275</v>
      </c>
      <c r="F99" t="s">
        <v>275</v>
      </c>
      <c r="G99">
        <v>7</v>
      </c>
    </row>
    <row r="100" spans="1:7" x14ac:dyDescent="0.35">
      <c r="A100">
        <v>99</v>
      </c>
      <c r="B100">
        <v>112</v>
      </c>
      <c r="C100" t="s">
        <v>0</v>
      </c>
      <c r="D100" t="s">
        <v>1</v>
      </c>
      <c r="E100" t="s">
        <v>276</v>
      </c>
      <c r="F100" t="s">
        <v>278</v>
      </c>
      <c r="G100">
        <v>7</v>
      </c>
    </row>
    <row r="101" spans="1:7" x14ac:dyDescent="0.35">
      <c r="A101">
        <v>100</v>
      </c>
      <c r="B101">
        <v>113</v>
      </c>
      <c r="C101" t="s">
        <v>0</v>
      </c>
      <c r="D101" t="s">
        <v>1</v>
      </c>
      <c r="E101" t="s">
        <v>279</v>
      </c>
      <c r="F101" t="s">
        <v>281</v>
      </c>
      <c r="G101">
        <v>7</v>
      </c>
    </row>
    <row r="102" spans="1:7" x14ac:dyDescent="0.35">
      <c r="A102">
        <v>101</v>
      </c>
      <c r="B102">
        <v>114</v>
      </c>
      <c r="C102" t="s">
        <v>0</v>
      </c>
      <c r="D102" t="s">
        <v>1</v>
      </c>
      <c r="E102" t="s">
        <v>282</v>
      </c>
      <c r="F102" t="s">
        <v>284</v>
      </c>
      <c r="G102">
        <v>7</v>
      </c>
    </row>
    <row r="103" spans="1:7" x14ac:dyDescent="0.35">
      <c r="A103">
        <v>102</v>
      </c>
      <c r="B103">
        <v>115</v>
      </c>
      <c r="C103" t="s">
        <v>0</v>
      </c>
      <c r="D103" t="s">
        <v>1</v>
      </c>
      <c r="E103" t="s">
        <v>285</v>
      </c>
      <c r="F103" t="s">
        <v>284</v>
      </c>
      <c r="G103">
        <v>7</v>
      </c>
    </row>
    <row r="104" spans="1:7" x14ac:dyDescent="0.35">
      <c r="A104">
        <v>103</v>
      </c>
      <c r="B104">
        <v>116</v>
      </c>
      <c r="C104" t="s">
        <v>18</v>
      </c>
      <c r="D104" t="s">
        <v>1</v>
      </c>
      <c r="E104" t="s">
        <v>287</v>
      </c>
      <c r="F104" t="s">
        <v>289</v>
      </c>
      <c r="G104">
        <v>7</v>
      </c>
    </row>
    <row r="105" spans="1:7" x14ac:dyDescent="0.35">
      <c r="A105">
        <v>104</v>
      </c>
      <c r="B105">
        <v>19</v>
      </c>
      <c r="C105" t="s">
        <v>18</v>
      </c>
      <c r="D105" t="s">
        <v>1</v>
      </c>
      <c r="E105" t="s">
        <v>290</v>
      </c>
      <c r="F105" t="s">
        <v>292</v>
      </c>
      <c r="G105">
        <v>7</v>
      </c>
    </row>
    <row r="106" spans="1:7" x14ac:dyDescent="0.35">
      <c r="A106">
        <v>105</v>
      </c>
      <c r="B106">
        <v>20</v>
      </c>
      <c r="C106" t="s">
        <v>18</v>
      </c>
      <c r="D106" t="s">
        <v>1</v>
      </c>
      <c r="E106" t="s">
        <v>224</v>
      </c>
      <c r="F106" t="s">
        <v>226</v>
      </c>
      <c r="G106">
        <v>8</v>
      </c>
    </row>
    <row r="107" spans="1:7" x14ac:dyDescent="0.35">
      <c r="A107">
        <v>106</v>
      </c>
      <c r="B107">
        <v>21</v>
      </c>
      <c r="C107" t="s">
        <v>18</v>
      </c>
      <c r="D107" t="s">
        <v>1</v>
      </c>
      <c r="E107" t="s">
        <v>294</v>
      </c>
      <c r="F107" t="s">
        <v>296</v>
      </c>
      <c r="G107">
        <v>8</v>
      </c>
    </row>
    <row r="108" spans="1:7" x14ac:dyDescent="0.35">
      <c r="A108">
        <v>107</v>
      </c>
      <c r="B108">
        <v>22</v>
      </c>
      <c r="C108" t="s">
        <v>18</v>
      </c>
      <c r="D108" t="s">
        <v>1</v>
      </c>
      <c r="E108" t="s">
        <v>297</v>
      </c>
      <c r="F108" t="s">
        <v>299</v>
      </c>
      <c r="G108">
        <v>8</v>
      </c>
    </row>
    <row r="109" spans="1:7" x14ac:dyDescent="0.35">
      <c r="A109">
        <v>108</v>
      </c>
      <c r="B109">
        <v>23</v>
      </c>
      <c r="C109" t="s">
        <v>18</v>
      </c>
      <c r="D109" t="s">
        <v>1</v>
      </c>
      <c r="E109" t="s">
        <v>374</v>
      </c>
      <c r="F109" t="s">
        <v>302</v>
      </c>
      <c r="G109">
        <v>8</v>
      </c>
    </row>
    <row r="110" spans="1:7" x14ac:dyDescent="0.35">
      <c r="A110">
        <v>109</v>
      </c>
      <c r="B110">
        <v>24</v>
      </c>
      <c r="C110" t="s">
        <v>18</v>
      </c>
      <c r="D110" t="s">
        <v>1</v>
      </c>
      <c r="E110" t="s">
        <v>303</v>
      </c>
      <c r="F110" t="s">
        <v>305</v>
      </c>
      <c r="G110">
        <v>8</v>
      </c>
    </row>
    <row r="111" spans="1:7" x14ac:dyDescent="0.35">
      <c r="A111">
        <v>110</v>
      </c>
      <c r="B111">
        <v>25</v>
      </c>
      <c r="C111" t="s">
        <v>18</v>
      </c>
      <c r="D111" t="s">
        <v>1</v>
      </c>
      <c r="E111" t="s">
        <v>306</v>
      </c>
      <c r="F111" t="s">
        <v>308</v>
      </c>
      <c r="G111">
        <v>8</v>
      </c>
    </row>
    <row r="112" spans="1:7" x14ac:dyDescent="0.35">
      <c r="A112">
        <v>111</v>
      </c>
      <c r="B112">
        <v>1000</v>
      </c>
      <c r="C112" t="s">
        <v>375</v>
      </c>
      <c r="D112" t="s">
        <v>376</v>
      </c>
      <c r="E112" t="s">
        <v>23</v>
      </c>
      <c r="F112" t="s">
        <v>25</v>
      </c>
      <c r="G112">
        <v>8</v>
      </c>
    </row>
    <row r="113" spans="1:7" x14ac:dyDescent="0.35">
      <c r="A113">
        <v>112</v>
      </c>
      <c r="B113">
        <v>143</v>
      </c>
      <c r="C113" t="s">
        <v>312</v>
      </c>
      <c r="D113" t="s">
        <v>1</v>
      </c>
      <c r="E113" t="s">
        <v>312</v>
      </c>
      <c r="F113" t="s">
        <v>314</v>
      </c>
      <c r="G113">
        <v>8</v>
      </c>
    </row>
    <row r="114" spans="1:7" x14ac:dyDescent="0.35">
      <c r="A114">
        <v>113</v>
      </c>
      <c r="B114">
        <v>144</v>
      </c>
      <c r="C114" t="s">
        <v>315</v>
      </c>
      <c r="D114" t="s">
        <v>1</v>
      </c>
      <c r="E114" t="s">
        <v>315</v>
      </c>
      <c r="F114" t="s">
        <v>317</v>
      </c>
      <c r="G114">
        <v>8</v>
      </c>
    </row>
    <row r="115" spans="1:7" x14ac:dyDescent="0.35">
      <c r="A115">
        <v>114</v>
      </c>
      <c r="B115">
        <v>150</v>
      </c>
      <c r="C115" t="s">
        <v>318</v>
      </c>
      <c r="D115" t="s">
        <v>1</v>
      </c>
      <c r="E115" t="s">
        <v>319</v>
      </c>
      <c r="F115" t="s">
        <v>321</v>
      </c>
      <c r="G115">
        <v>8</v>
      </c>
    </row>
    <row r="116" spans="1:7" x14ac:dyDescent="0.35">
      <c r="A116">
        <v>115</v>
      </c>
      <c r="B116">
        <v>151</v>
      </c>
      <c r="C116" t="s">
        <v>322</v>
      </c>
      <c r="D116" t="s">
        <v>1</v>
      </c>
      <c r="E116" t="s">
        <v>323</v>
      </c>
      <c r="F116" t="s">
        <v>325</v>
      </c>
      <c r="G116">
        <v>8</v>
      </c>
    </row>
    <row r="117" spans="1:7" x14ac:dyDescent="0.35">
      <c r="A117">
        <v>116</v>
      </c>
      <c r="B117">
        <v>152</v>
      </c>
      <c r="C117" t="s">
        <v>326</v>
      </c>
      <c r="D117" t="s">
        <v>1</v>
      </c>
      <c r="E117" t="s">
        <v>327</v>
      </c>
      <c r="F117" t="s">
        <v>329</v>
      </c>
      <c r="G117">
        <v>8</v>
      </c>
    </row>
    <row r="118" spans="1:7" x14ac:dyDescent="0.35">
      <c r="A118">
        <v>117</v>
      </c>
      <c r="B118">
        <v>153</v>
      </c>
      <c r="C118" t="s">
        <v>330</v>
      </c>
      <c r="D118" t="s">
        <v>1</v>
      </c>
      <c r="E118" t="s">
        <v>331</v>
      </c>
      <c r="F118" t="s">
        <v>333</v>
      </c>
      <c r="G118">
        <v>8</v>
      </c>
    </row>
    <row r="119" spans="1:7" x14ac:dyDescent="0.35">
      <c r="A119">
        <v>118</v>
      </c>
      <c r="B119">
        <v>154</v>
      </c>
      <c r="C119" t="s">
        <v>334</v>
      </c>
      <c r="D119" t="s">
        <v>1</v>
      </c>
      <c r="E119" t="s">
        <v>335</v>
      </c>
      <c r="F119" t="s">
        <v>337</v>
      </c>
      <c r="G119">
        <v>8</v>
      </c>
    </row>
    <row r="120" spans="1:7" x14ac:dyDescent="0.35">
      <c r="A120">
        <v>119</v>
      </c>
      <c r="B120">
        <v>6508</v>
      </c>
      <c r="C120" t="s">
        <v>0</v>
      </c>
      <c r="D120" t="s">
        <v>1</v>
      </c>
      <c r="E120" t="s">
        <v>338</v>
      </c>
      <c r="F120" t="s">
        <v>340</v>
      </c>
      <c r="G120">
        <v>8</v>
      </c>
    </row>
    <row r="121" spans="1:7" x14ac:dyDescent="0.35">
      <c r="A121">
        <v>120</v>
      </c>
      <c r="B121">
        <v>161</v>
      </c>
      <c r="C121" t="s">
        <v>0</v>
      </c>
      <c r="D121" t="s">
        <v>1</v>
      </c>
      <c r="E121" t="s">
        <v>341</v>
      </c>
      <c r="F121" t="s">
        <v>343</v>
      </c>
      <c r="G121">
        <v>8</v>
      </c>
    </row>
    <row r="122" spans="1:7" x14ac:dyDescent="0.35">
      <c r="A122">
        <v>121</v>
      </c>
      <c r="B122">
        <v>162</v>
      </c>
      <c r="C122" t="s">
        <v>0</v>
      </c>
      <c r="D122" t="s">
        <v>1</v>
      </c>
      <c r="E122" t="s">
        <v>344</v>
      </c>
      <c r="F122" t="s">
        <v>346</v>
      </c>
      <c r="G122">
        <v>8</v>
      </c>
    </row>
    <row r="123" spans="1:7" x14ac:dyDescent="0.35">
      <c r="A123">
        <v>122</v>
      </c>
      <c r="B123">
        <v>163</v>
      </c>
      <c r="C123" t="s">
        <v>0</v>
      </c>
      <c r="D123" t="s">
        <v>1</v>
      </c>
      <c r="E123" t="s">
        <v>347</v>
      </c>
      <c r="F123" t="s">
        <v>349</v>
      </c>
      <c r="G123">
        <v>8</v>
      </c>
    </row>
    <row r="124" spans="1:7" x14ac:dyDescent="0.35">
      <c r="A124">
        <v>123</v>
      </c>
      <c r="B124">
        <v>164</v>
      </c>
      <c r="C124" t="s">
        <v>0</v>
      </c>
      <c r="D124" t="s">
        <v>1</v>
      </c>
      <c r="E124" t="s">
        <v>350</v>
      </c>
      <c r="F124" t="s">
        <v>352</v>
      </c>
      <c r="G124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FF0301-4C85-4B1F-81AB-8C25A2813C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MAIL</vt:lpstr>
      <vt:lpstr>mail_202403041110</vt:lpstr>
      <vt:lpstr>Hoja6</vt:lpstr>
      <vt:lpstr>recursos_faltantes</vt:lpstr>
      <vt:lpstr>REPLACES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Miranda Jauregui</dc:creator>
  <cp:lastModifiedBy>Denis Miranda</cp:lastModifiedBy>
  <dcterms:created xsi:type="dcterms:W3CDTF">2024-03-04T19:38:07Z</dcterms:created>
  <dcterms:modified xsi:type="dcterms:W3CDTF">2024-03-06T12:22:07Z</dcterms:modified>
</cp:coreProperties>
</file>